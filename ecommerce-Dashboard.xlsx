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Tara\Downloads\"/>
    </mc:Choice>
  </mc:AlternateContent>
  <xr:revisionPtr revIDLastSave="0" documentId="13_ncr:1_{7E297BC2-1FCB-43DE-9896-F7F99E19B0AB}" xr6:coauthVersionLast="47" xr6:coauthVersionMax="47" xr10:uidLastSave="{00000000-0000-0000-0000-000000000000}"/>
  <bookViews>
    <workbookView xWindow="-108" yWindow="-108" windowWidth="23256" windowHeight="12456" activeTab="4" xr2:uid="{346724B3-1C49-40AE-AA36-C77CF5D6DD09}"/>
  </bookViews>
  <sheets>
    <sheet name="Data" sheetId="1" r:id="rId1"/>
    <sheet name="Pivot tables" sheetId="5" r:id="rId2"/>
    <sheet name="pivot 2" sheetId="6" r:id="rId3"/>
    <sheet name="Questions &amp; KPIs" sheetId="2" r:id="rId4"/>
    <sheet name="Dashboard" sheetId="3" r:id="rId5"/>
    <sheet name="Logo &amp; Colors" sheetId="4" r:id="rId6"/>
  </sheets>
  <definedNames>
    <definedName name="_xlchart.v5.0" hidden="1">'Pivot tables'!$X$34:$Y$34</definedName>
    <definedName name="_xlchart.v5.1" hidden="1">'Pivot tables'!$X$35:$Y$92</definedName>
    <definedName name="_xlchart.v5.2" hidden="1">'Pivot tables'!$Z$34</definedName>
    <definedName name="_xlchart.v5.3" hidden="1">'Pivot tables'!$Z$35:$Z$92</definedName>
    <definedName name="_xlchart.v5.4" hidden="1">'Pivot tables'!$T$34:$U$34</definedName>
    <definedName name="_xlchart.v5.5" hidden="1">'Pivot tables'!$T$35:$U$92</definedName>
    <definedName name="_xlchart.v5.6" hidden="1">'Pivot tables'!$V$34</definedName>
    <definedName name="_xlchart.v5.7" hidden="1">'Pivot tables'!$V$35:$V$92</definedName>
    <definedName name="Slicer_Gender_Value">#N/A</definedName>
    <definedName name="Slicer_Order_Mod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Z36" i="5" l="1"/>
  <c r="Z37" i="5"/>
  <c r="Z38" i="5"/>
  <c r="Z39" i="5"/>
  <c r="Z40" i="5"/>
  <c r="Z41" i="5"/>
  <c r="Z42" i="5"/>
  <c r="Z43" i="5"/>
  <c r="Z44" i="5"/>
  <c r="Z45" i="5"/>
  <c r="Z46" i="5"/>
  <c r="Z47" i="5"/>
  <c r="Z48" i="5"/>
  <c r="Z49" i="5"/>
  <c r="Z50" i="5"/>
  <c r="Z51" i="5"/>
  <c r="Z52" i="5"/>
  <c r="Z53" i="5"/>
  <c r="Z54" i="5"/>
  <c r="Z55" i="5"/>
  <c r="Z56" i="5"/>
  <c r="Z57" i="5"/>
  <c r="Z58" i="5"/>
  <c r="Z59" i="5"/>
  <c r="Z60" i="5"/>
  <c r="Z61" i="5"/>
  <c r="Z62" i="5"/>
  <c r="Z63" i="5"/>
  <c r="Z64" i="5"/>
  <c r="Z65" i="5"/>
  <c r="Z66" i="5"/>
  <c r="Z67" i="5"/>
  <c r="Z68" i="5"/>
  <c r="Z69" i="5"/>
  <c r="Z70" i="5"/>
  <c r="Z71" i="5"/>
  <c r="Z72" i="5"/>
  <c r="Z73" i="5"/>
  <c r="Z74" i="5"/>
  <c r="Z75" i="5"/>
  <c r="Z76" i="5"/>
  <c r="Z77" i="5"/>
  <c r="Z78" i="5"/>
  <c r="Z79" i="5"/>
  <c r="Z80" i="5"/>
  <c r="Z81" i="5"/>
  <c r="Z82" i="5"/>
  <c r="Z83" i="5"/>
  <c r="Z84" i="5"/>
  <c r="Z85" i="5"/>
  <c r="Z86" i="5"/>
  <c r="Z87" i="5"/>
  <c r="Z88" i="5"/>
  <c r="Z89" i="5"/>
  <c r="Z90" i="5"/>
  <c r="Z91" i="5"/>
  <c r="Z92" i="5"/>
  <c r="Z35" i="5"/>
  <c r="V36" i="5"/>
  <c r="V37" i="5"/>
  <c r="V38" i="5"/>
  <c r="V39" i="5"/>
  <c r="V40" i="5"/>
  <c r="V41" i="5"/>
  <c r="V42" i="5"/>
  <c r="V43" i="5"/>
  <c r="V44" i="5"/>
  <c r="V45" i="5"/>
  <c r="V46" i="5"/>
  <c r="V47" i="5"/>
  <c r="V48" i="5"/>
  <c r="V49" i="5"/>
  <c r="V50" i="5"/>
  <c r="V51" i="5"/>
  <c r="V52" i="5"/>
  <c r="V53" i="5"/>
  <c r="V54" i="5"/>
  <c r="V55" i="5"/>
  <c r="V56" i="5"/>
  <c r="V57" i="5"/>
  <c r="V58" i="5"/>
  <c r="V59" i="5"/>
  <c r="V60" i="5"/>
  <c r="V61" i="5"/>
  <c r="V62" i="5"/>
  <c r="V63" i="5"/>
  <c r="V64" i="5"/>
  <c r="V65" i="5"/>
  <c r="V66" i="5"/>
  <c r="V67" i="5"/>
  <c r="V68" i="5"/>
  <c r="V69" i="5"/>
  <c r="V70" i="5"/>
  <c r="V71" i="5"/>
  <c r="V72" i="5"/>
  <c r="V73" i="5"/>
  <c r="V74" i="5"/>
  <c r="V75" i="5"/>
  <c r="V76" i="5"/>
  <c r="V77" i="5"/>
  <c r="V78" i="5"/>
  <c r="V79" i="5"/>
  <c r="V80" i="5"/>
  <c r="V81" i="5"/>
  <c r="V82" i="5"/>
  <c r="V83" i="5"/>
  <c r="V84" i="5"/>
  <c r="V85" i="5"/>
  <c r="V86" i="5"/>
  <c r="V87" i="5"/>
  <c r="V88" i="5"/>
  <c r="V89" i="5"/>
  <c r="V90" i="5"/>
  <c r="V91" i="5"/>
  <c r="V92" i="5"/>
  <c r="V35" i="5"/>
  <c r="X36" i="5"/>
  <c r="Y36" i="5"/>
  <c r="X37" i="5"/>
  <c r="Y37" i="5"/>
  <c r="X38" i="5"/>
  <c r="Y38" i="5"/>
  <c r="X39" i="5"/>
  <c r="Y39" i="5"/>
  <c r="X40" i="5"/>
  <c r="Y40" i="5"/>
  <c r="X41" i="5"/>
  <c r="Y41" i="5"/>
  <c r="X42" i="5"/>
  <c r="Y42" i="5"/>
  <c r="X43" i="5"/>
  <c r="Y43" i="5"/>
  <c r="X44" i="5"/>
  <c r="Y44" i="5"/>
  <c r="X45" i="5"/>
  <c r="Y45" i="5"/>
  <c r="X46" i="5"/>
  <c r="Y46" i="5"/>
  <c r="X47" i="5"/>
  <c r="Y47" i="5"/>
  <c r="X48" i="5"/>
  <c r="Y48" i="5"/>
  <c r="X49" i="5"/>
  <c r="Y49" i="5"/>
  <c r="X50" i="5"/>
  <c r="Y50" i="5"/>
  <c r="X51" i="5"/>
  <c r="Y51" i="5"/>
  <c r="X52" i="5"/>
  <c r="Y52" i="5"/>
  <c r="X53" i="5"/>
  <c r="Y53" i="5"/>
  <c r="X54" i="5"/>
  <c r="Y54" i="5"/>
  <c r="X55" i="5"/>
  <c r="Y55" i="5"/>
  <c r="X56" i="5"/>
  <c r="Y56" i="5"/>
  <c r="X57" i="5"/>
  <c r="Y57" i="5"/>
  <c r="X58" i="5"/>
  <c r="Y58" i="5"/>
  <c r="X59" i="5"/>
  <c r="Y59" i="5"/>
  <c r="X60" i="5"/>
  <c r="Y60" i="5"/>
  <c r="X61" i="5"/>
  <c r="Y61" i="5"/>
  <c r="X62" i="5"/>
  <c r="Y62" i="5"/>
  <c r="X63" i="5"/>
  <c r="Y63" i="5"/>
  <c r="X64" i="5"/>
  <c r="Y64" i="5"/>
  <c r="X65" i="5"/>
  <c r="Y65" i="5"/>
  <c r="X66" i="5"/>
  <c r="Y66" i="5"/>
  <c r="X67" i="5"/>
  <c r="Y67" i="5"/>
  <c r="X68" i="5"/>
  <c r="Y68" i="5"/>
  <c r="X69" i="5"/>
  <c r="Y69" i="5"/>
  <c r="X70" i="5"/>
  <c r="Y70" i="5"/>
  <c r="X71" i="5"/>
  <c r="Y71" i="5"/>
  <c r="X72" i="5"/>
  <c r="Y72" i="5"/>
  <c r="X73" i="5"/>
  <c r="Y73" i="5"/>
  <c r="X74" i="5"/>
  <c r="Y74" i="5"/>
  <c r="X75" i="5"/>
  <c r="Y75" i="5"/>
  <c r="X76" i="5"/>
  <c r="Y76" i="5"/>
  <c r="X77" i="5"/>
  <c r="Y77" i="5"/>
  <c r="X78" i="5"/>
  <c r="Y78" i="5"/>
  <c r="X79" i="5"/>
  <c r="Y79" i="5"/>
  <c r="X80" i="5"/>
  <c r="Y80" i="5"/>
  <c r="X81" i="5"/>
  <c r="Y81" i="5"/>
  <c r="X82" i="5"/>
  <c r="Y82" i="5"/>
  <c r="X83" i="5"/>
  <c r="Y83" i="5"/>
  <c r="X84" i="5"/>
  <c r="Y84" i="5"/>
  <c r="X85" i="5"/>
  <c r="Y85" i="5"/>
  <c r="X86" i="5"/>
  <c r="Y86" i="5"/>
  <c r="X87" i="5"/>
  <c r="Y87" i="5"/>
  <c r="X88" i="5"/>
  <c r="Y88" i="5"/>
  <c r="X89" i="5"/>
  <c r="Y89" i="5"/>
  <c r="X90" i="5"/>
  <c r="Y90" i="5"/>
  <c r="X91" i="5"/>
  <c r="Y91" i="5"/>
  <c r="X92" i="5"/>
  <c r="Y92" i="5"/>
  <c r="Y35" i="5"/>
  <c r="X35" i="5"/>
  <c r="T36" i="5"/>
  <c r="U36" i="5"/>
  <c r="T37" i="5"/>
  <c r="U37" i="5"/>
  <c r="T38" i="5"/>
  <c r="U38" i="5"/>
  <c r="T39" i="5"/>
  <c r="U39" i="5"/>
  <c r="T40" i="5"/>
  <c r="U40" i="5"/>
  <c r="T41" i="5"/>
  <c r="U41" i="5"/>
  <c r="T42" i="5"/>
  <c r="U42" i="5"/>
  <c r="T43" i="5"/>
  <c r="U43" i="5"/>
  <c r="T44" i="5"/>
  <c r="U44" i="5"/>
  <c r="T45" i="5"/>
  <c r="U45" i="5"/>
  <c r="T46" i="5"/>
  <c r="U46" i="5"/>
  <c r="T47" i="5"/>
  <c r="U47" i="5"/>
  <c r="T48" i="5"/>
  <c r="U48" i="5"/>
  <c r="T49" i="5"/>
  <c r="U49" i="5"/>
  <c r="T50" i="5"/>
  <c r="U50" i="5"/>
  <c r="T51" i="5"/>
  <c r="U51" i="5"/>
  <c r="T52" i="5"/>
  <c r="U52" i="5"/>
  <c r="T53" i="5"/>
  <c r="U53" i="5"/>
  <c r="T54" i="5"/>
  <c r="U54" i="5"/>
  <c r="T55" i="5"/>
  <c r="U55" i="5"/>
  <c r="T56" i="5"/>
  <c r="U56" i="5"/>
  <c r="T57" i="5"/>
  <c r="U57" i="5"/>
  <c r="T58" i="5"/>
  <c r="U58" i="5"/>
  <c r="T59" i="5"/>
  <c r="U59" i="5"/>
  <c r="T60" i="5"/>
  <c r="U60" i="5"/>
  <c r="T61" i="5"/>
  <c r="U61" i="5"/>
  <c r="T62" i="5"/>
  <c r="U62" i="5"/>
  <c r="T63" i="5"/>
  <c r="U63" i="5"/>
  <c r="T64" i="5"/>
  <c r="U64" i="5"/>
  <c r="T65" i="5"/>
  <c r="U65" i="5"/>
  <c r="T66" i="5"/>
  <c r="U66" i="5"/>
  <c r="T67" i="5"/>
  <c r="U67" i="5"/>
  <c r="T68" i="5"/>
  <c r="U68" i="5"/>
  <c r="T69" i="5"/>
  <c r="U69" i="5"/>
  <c r="T70" i="5"/>
  <c r="U70" i="5"/>
  <c r="T71" i="5"/>
  <c r="U71" i="5"/>
  <c r="T72" i="5"/>
  <c r="U72" i="5"/>
  <c r="T73" i="5"/>
  <c r="U73" i="5"/>
  <c r="T74" i="5"/>
  <c r="U74" i="5"/>
  <c r="T75" i="5"/>
  <c r="U75" i="5"/>
  <c r="T76" i="5"/>
  <c r="U76" i="5"/>
  <c r="T77" i="5"/>
  <c r="U77" i="5"/>
  <c r="T78" i="5"/>
  <c r="U78" i="5"/>
  <c r="T79" i="5"/>
  <c r="U79" i="5"/>
  <c r="T80" i="5"/>
  <c r="U80" i="5"/>
  <c r="T81" i="5"/>
  <c r="U81" i="5"/>
  <c r="T82" i="5"/>
  <c r="U82" i="5"/>
  <c r="T83" i="5"/>
  <c r="U83" i="5"/>
  <c r="T84" i="5"/>
  <c r="U84" i="5"/>
  <c r="T85" i="5"/>
  <c r="U85" i="5"/>
  <c r="T86" i="5"/>
  <c r="U86" i="5"/>
  <c r="T87" i="5"/>
  <c r="U87" i="5"/>
  <c r="T88" i="5"/>
  <c r="U88" i="5"/>
  <c r="T89" i="5"/>
  <c r="U89" i="5"/>
  <c r="T90" i="5"/>
  <c r="U90" i="5"/>
  <c r="T91" i="5"/>
  <c r="U91" i="5"/>
  <c r="T92" i="5"/>
  <c r="U92" i="5"/>
  <c r="U35" i="5"/>
  <c r="T35" i="5"/>
  <c r="I6" i="6"/>
  <c r="J6" i="6"/>
  <c r="K6" i="6"/>
  <c r="L6" i="6"/>
  <c r="I7" i="6"/>
  <c r="J7" i="6"/>
  <c r="K7" i="6"/>
  <c r="L7" i="6"/>
  <c r="I8" i="6"/>
  <c r="J8" i="6"/>
  <c r="K8" i="6"/>
  <c r="L8" i="6"/>
  <c r="I9" i="6"/>
  <c r="J9" i="6"/>
  <c r="K9" i="6"/>
  <c r="L9" i="6"/>
  <c r="I10" i="6"/>
  <c r="J10" i="6"/>
  <c r="K10" i="6"/>
  <c r="L10" i="6"/>
  <c r="J5" i="6"/>
  <c r="K5" i="6"/>
  <c r="L5" i="6"/>
  <c r="J4" i="6"/>
  <c r="K4" i="6"/>
  <c r="L4" i="6"/>
  <c r="I4" i="6"/>
  <c r="I5" i="6"/>
  <c r="H6" i="6"/>
  <c r="H7" i="6"/>
  <c r="H8" i="6"/>
  <c r="H9" i="6"/>
  <c r="H10" i="6"/>
  <c r="H5" i="6"/>
  <c r="K5" i="5"/>
  <c r="J5" i="5"/>
  <c r="I5" i="5"/>
  <c r="H5" i="5"/>
  <c r="G5" i="5"/>
  <c r="O2401" i="1" a="1"/>
  <c r="O2401" i="1" s="1"/>
  <c r="N2401" i="1"/>
  <c r="M2401" i="1"/>
  <c r="O2400" i="1" a="1"/>
  <c r="O2400" i="1" s="1"/>
  <c r="N2400" i="1"/>
  <c r="M2400" i="1"/>
  <c r="O2399" i="1" a="1"/>
  <c r="O2399" i="1" s="1"/>
  <c r="N2399" i="1"/>
  <c r="M2399" i="1"/>
  <c r="O2398" i="1" a="1"/>
  <c r="O2398" i="1" s="1"/>
  <c r="N2398" i="1"/>
  <c r="M2398" i="1"/>
  <c r="O2397" i="1" a="1"/>
  <c r="O2397" i="1" s="1"/>
  <c r="N2397" i="1"/>
  <c r="M2397" i="1"/>
  <c r="O2396" i="1" a="1"/>
  <c r="O2396" i="1" s="1"/>
  <c r="N2396" i="1"/>
  <c r="M2396" i="1"/>
  <c r="O2395" i="1" a="1"/>
  <c r="O2395" i="1" s="1"/>
  <c r="N2395" i="1"/>
  <c r="M2395" i="1"/>
  <c r="O2394" i="1" a="1"/>
  <c r="O2394" i="1" s="1"/>
  <c r="N2394" i="1"/>
  <c r="M2394" i="1"/>
  <c r="O2393" i="1" a="1"/>
  <c r="O2393" i="1" s="1"/>
  <c r="N2393" i="1"/>
  <c r="M2393" i="1"/>
  <c r="O2392" i="1" a="1"/>
  <c r="O2392" i="1" s="1"/>
  <c r="N2392" i="1"/>
  <c r="M2392" i="1"/>
  <c r="O2391" i="1" a="1"/>
  <c r="O2391" i="1" s="1"/>
  <c r="N2391" i="1"/>
  <c r="M2391" i="1"/>
  <c r="O2390" i="1" a="1"/>
  <c r="O2390" i="1" s="1"/>
  <c r="N2390" i="1"/>
  <c r="M2390" i="1"/>
  <c r="O2389" i="1" a="1"/>
  <c r="O2389" i="1" s="1"/>
  <c r="N2389" i="1"/>
  <c r="M2389" i="1"/>
  <c r="O2388" i="1" a="1"/>
  <c r="O2388" i="1" s="1"/>
  <c r="N2388" i="1"/>
  <c r="M2388" i="1"/>
  <c r="O2387" i="1" a="1"/>
  <c r="O2387" i="1" s="1"/>
  <c r="N2387" i="1"/>
  <c r="M2387" i="1"/>
  <c r="O2386" i="1" a="1"/>
  <c r="O2386" i="1" s="1"/>
  <c r="N2386" i="1"/>
  <c r="M2386" i="1"/>
  <c r="O2385" i="1" a="1"/>
  <c r="O2385" i="1" s="1"/>
  <c r="N2385" i="1"/>
  <c r="M2385" i="1"/>
  <c r="O2384" i="1" a="1"/>
  <c r="O2384" i="1" s="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a="1"/>
  <c r="O2377" i="1" s="1"/>
  <c r="N2377" i="1"/>
  <c r="M2377" i="1"/>
  <c r="O2376" i="1" a="1"/>
  <c r="O2376" i="1" s="1"/>
  <c r="N2376" i="1"/>
  <c r="M2376" i="1"/>
  <c r="O2375" i="1" a="1"/>
  <c r="O2375" i="1" s="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a="1"/>
  <c r="O2368" i="1" s="1"/>
  <c r="N2368" i="1"/>
  <c r="M2368" i="1"/>
  <c r="O2367" i="1" a="1"/>
  <c r="O2367" i="1" s="1"/>
  <c r="N2367" i="1"/>
  <c r="M2367" i="1"/>
  <c r="O2366" i="1" a="1"/>
  <c r="O2366" i="1" s="1"/>
  <c r="N2366" i="1"/>
  <c r="M2366" i="1"/>
  <c r="O2365" i="1" a="1"/>
  <c r="O2365" i="1" s="1"/>
  <c r="N2365" i="1"/>
  <c r="M2365" i="1"/>
  <c r="O2364" i="1" a="1"/>
  <c r="O2364" i="1" s="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a="1"/>
  <c r="O2356" i="1" s="1"/>
  <c r="N2356" i="1"/>
  <c r="M2356" i="1"/>
  <c r="O2355" i="1" a="1"/>
  <c r="O2355" i="1" s="1"/>
  <c r="N2355" i="1"/>
  <c r="M2355" i="1"/>
  <c r="O2354" i="1" a="1"/>
  <c r="O2354" i="1" s="1"/>
  <c r="N2354" i="1"/>
  <c r="M2354" i="1"/>
  <c r="O2353" i="1" a="1"/>
  <c r="O2353" i="1" s="1"/>
  <c r="N2353" i="1"/>
  <c r="M2353" i="1"/>
  <c r="O2352" i="1" a="1"/>
  <c r="O2352" i="1" s="1"/>
  <c r="N2352" i="1"/>
  <c r="M2352" i="1"/>
  <c r="O2351" i="1" a="1"/>
  <c r="O2351" i="1" s="1"/>
  <c r="N2351" i="1"/>
  <c r="M2351" i="1"/>
  <c r="O2350" i="1" a="1"/>
  <c r="O2350" i="1" s="1"/>
  <c r="N2350" i="1"/>
  <c r="M2350" i="1"/>
  <c r="O2349" i="1" a="1"/>
  <c r="O2349" i="1" s="1"/>
  <c r="N2349" i="1"/>
  <c r="M2349" i="1"/>
  <c r="O2348" i="1" a="1"/>
  <c r="O2348" i="1" s="1"/>
  <c r="N2348" i="1"/>
  <c r="M2348" i="1"/>
  <c r="O2347" i="1" a="1"/>
  <c r="O2347" i="1" s="1"/>
  <c r="N2347" i="1"/>
  <c r="M2347" i="1"/>
  <c r="O2346" i="1" a="1"/>
  <c r="O2346" i="1" s="1"/>
  <c r="N2346" i="1"/>
  <c r="M2346" i="1"/>
  <c r="O2345" i="1" a="1"/>
  <c r="O2345" i="1" s="1"/>
  <c r="N2345" i="1"/>
  <c r="M2345" i="1"/>
  <c r="O2344" i="1" a="1"/>
  <c r="O2344" i="1" s="1"/>
  <c r="N2344" i="1"/>
  <c r="M2344" i="1"/>
  <c r="O2343" i="1" a="1"/>
  <c r="O2343" i="1" s="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a="1"/>
  <c r="O2332" i="1" s="1"/>
  <c r="N2332" i="1"/>
  <c r="M2332" i="1"/>
  <c r="O2331" i="1" a="1"/>
  <c r="O2331" i="1" s="1"/>
  <c r="N2331" i="1"/>
  <c r="M2331" i="1"/>
  <c r="O2330" i="1" a="1"/>
  <c r="O2330" i="1" s="1"/>
  <c r="N2330" i="1"/>
  <c r="M2330" i="1"/>
  <c r="O2329" i="1" a="1"/>
  <c r="O2329" i="1" s="1"/>
  <c r="N2329" i="1"/>
  <c r="M2329" i="1"/>
  <c r="O2328" i="1" a="1"/>
  <c r="O2328" i="1" s="1"/>
  <c r="N2328" i="1"/>
  <c r="M2328" i="1"/>
  <c r="O2327" i="1"/>
  <c r="O2327" i="1" a="1"/>
  <c r="N2327" i="1"/>
  <c r="M2327" i="1"/>
  <c r="O2326" i="1" a="1"/>
  <c r="O2326" i="1" s="1"/>
  <c r="N2326" i="1"/>
  <c r="M2326" i="1"/>
  <c r="O2325" i="1" a="1"/>
  <c r="O2325" i="1" s="1"/>
  <c r="N2325" i="1"/>
  <c r="M2325" i="1"/>
  <c r="O2324" i="1" a="1"/>
  <c r="O2324" i="1" s="1"/>
  <c r="N2324" i="1"/>
  <c r="M2324" i="1"/>
  <c r="O2323" i="1" a="1"/>
  <c r="O2323" i="1" s="1"/>
  <c r="N2323" i="1"/>
  <c r="M2323" i="1"/>
  <c r="O2322" i="1" a="1"/>
  <c r="O2322" i="1" s="1"/>
  <c r="N2322" i="1"/>
  <c r="M2322" i="1"/>
  <c r="O2321" i="1"/>
  <c r="O2321" i="1" a="1"/>
  <c r="N2321" i="1"/>
  <c r="M2321" i="1"/>
  <c r="O2320" i="1" a="1"/>
  <c r="O2320" i="1" s="1"/>
  <c r="N2320" i="1"/>
  <c r="M2320" i="1"/>
  <c r="O2319" i="1" a="1"/>
  <c r="O2319" i="1" s="1"/>
  <c r="N2319" i="1"/>
  <c r="M2319" i="1"/>
  <c r="O2318" i="1" a="1"/>
  <c r="O2318" i="1" s="1"/>
  <c r="N2318" i="1"/>
  <c r="M2318" i="1"/>
  <c r="O2317" i="1" a="1"/>
  <c r="O2317" i="1" s="1"/>
  <c r="N2317" i="1"/>
  <c r="M2317" i="1"/>
  <c r="O2316" i="1"/>
  <c r="O2316" i="1" a="1"/>
  <c r="N2316" i="1"/>
  <c r="M2316" i="1"/>
  <c r="O2315" i="1" a="1"/>
  <c r="O2315" i="1" s="1"/>
  <c r="N2315" i="1"/>
  <c r="M2315" i="1"/>
  <c r="O2314" i="1" a="1"/>
  <c r="O2314" i="1" s="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a="1"/>
  <c r="O2308" i="1" s="1"/>
  <c r="N2308" i="1"/>
  <c r="M2308" i="1"/>
  <c r="O2307" i="1" a="1"/>
  <c r="O2307" i="1" s="1"/>
  <c r="N2307" i="1"/>
  <c r="M2307" i="1"/>
  <c r="O2306" i="1" a="1"/>
  <c r="O2306" i="1" s="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a="1"/>
  <c r="O2298" i="1" s="1"/>
  <c r="N2298" i="1"/>
  <c r="M2298" i="1"/>
  <c r="O2297" i="1" a="1"/>
  <c r="O2297" i="1" s="1"/>
  <c r="N2297" i="1"/>
  <c r="M2297" i="1"/>
  <c r="O2296" i="1" a="1"/>
  <c r="O2296" i="1" s="1"/>
  <c r="N2296" i="1"/>
  <c r="M2296" i="1"/>
  <c r="O2295" i="1" a="1"/>
  <c r="O2295" i="1" s="1"/>
  <c r="N2295" i="1"/>
  <c r="M2295" i="1"/>
  <c r="O2294" i="1" a="1"/>
  <c r="O2294" i="1" s="1"/>
  <c r="N2294" i="1"/>
  <c r="M2294" i="1"/>
  <c r="O2293" i="1" a="1"/>
  <c r="O2293" i="1" s="1"/>
  <c r="N2293" i="1"/>
  <c r="M2293" i="1"/>
  <c r="O2292" i="1" a="1"/>
  <c r="O2292" i="1" s="1"/>
  <c r="N2292" i="1"/>
  <c r="M2292" i="1"/>
  <c r="O2291" i="1" a="1"/>
  <c r="O2291" i="1" s="1"/>
  <c r="N2291" i="1"/>
  <c r="M2291" i="1"/>
  <c r="O2290" i="1" a="1"/>
  <c r="O2290" i="1" s="1"/>
  <c r="N2290" i="1"/>
  <c r="M2290" i="1"/>
  <c r="O2289" i="1" a="1"/>
  <c r="O2289" i="1" s="1"/>
  <c r="N2289" i="1"/>
  <c r="M2289" i="1"/>
  <c r="O2288" i="1" a="1"/>
  <c r="O2288" i="1" s="1"/>
  <c r="N2288" i="1"/>
  <c r="M2288" i="1"/>
  <c r="O2287" i="1" a="1"/>
  <c r="O2287" i="1" s="1"/>
  <c r="N2287" i="1"/>
  <c r="M2287" i="1"/>
  <c r="O2286" i="1" a="1"/>
  <c r="O2286" i="1" s="1"/>
  <c r="N2286" i="1"/>
  <c r="M2286" i="1"/>
  <c r="O2285" i="1" a="1"/>
  <c r="O2285" i="1" s="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a="1"/>
  <c r="O2279" i="1" s="1"/>
  <c r="N2279" i="1"/>
  <c r="M2279" i="1"/>
  <c r="O2278" i="1" a="1"/>
  <c r="O2278" i="1" s="1"/>
  <c r="N2278" i="1"/>
  <c r="M2278" i="1"/>
  <c r="O2277" i="1" a="1"/>
  <c r="O2277" i="1" s="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a="1"/>
  <c r="O2271" i="1" s="1"/>
  <c r="N2271" i="1"/>
  <c r="M2271" i="1"/>
  <c r="O2270" i="1" a="1"/>
  <c r="O2270" i="1" s="1"/>
  <c r="N2270" i="1"/>
  <c r="M2270" i="1"/>
  <c r="O2269" i="1" a="1"/>
  <c r="O2269" i="1" s="1"/>
  <c r="N2269" i="1"/>
  <c r="M2269" i="1"/>
  <c r="O2268" i="1" a="1"/>
  <c r="O2268" i="1" s="1"/>
  <c r="N2268" i="1"/>
  <c r="M2268" i="1"/>
  <c r="O2267" i="1" a="1"/>
  <c r="O2267" i="1" s="1"/>
  <c r="N2267" i="1"/>
  <c r="M2267" i="1"/>
  <c r="O2266" i="1" a="1"/>
  <c r="O2266" i="1" s="1"/>
  <c r="N2266" i="1"/>
  <c r="M2266" i="1"/>
  <c r="O2265" i="1" a="1"/>
  <c r="O2265" i="1" s="1"/>
  <c r="N2265" i="1"/>
  <c r="M2265" i="1"/>
  <c r="O2264" i="1" a="1"/>
  <c r="O2264" i="1" s="1"/>
  <c r="N2264" i="1"/>
  <c r="M2264" i="1"/>
  <c r="O2263" i="1" a="1"/>
  <c r="O2263" i="1" s="1"/>
  <c r="N2263" i="1"/>
  <c r="M2263" i="1"/>
  <c r="O2262" i="1" a="1"/>
  <c r="O2262" i="1" s="1"/>
  <c r="N2262" i="1"/>
  <c r="M2262" i="1"/>
  <c r="O2261" i="1" a="1"/>
  <c r="O2261" i="1" s="1"/>
  <c r="N2261" i="1"/>
  <c r="M2261" i="1"/>
  <c r="O2260" i="1" a="1"/>
  <c r="O2260" i="1" s="1"/>
  <c r="N2260" i="1"/>
  <c r="M2260" i="1"/>
  <c r="O2259" i="1" a="1"/>
  <c r="O2259" i="1" s="1"/>
  <c r="N2259" i="1"/>
  <c r="M2259" i="1"/>
  <c r="O2258" i="1" a="1"/>
  <c r="O2258" i="1" s="1"/>
  <c r="N2258" i="1"/>
  <c r="M2258" i="1"/>
  <c r="O2257" i="1" a="1"/>
  <c r="O2257" i="1" s="1"/>
  <c r="N2257" i="1"/>
  <c r="M2257" i="1"/>
  <c r="O2256" i="1" a="1"/>
  <c r="O2256" i="1" s="1"/>
  <c r="N2256" i="1"/>
  <c r="M2256" i="1"/>
  <c r="O2255" i="1" a="1"/>
  <c r="O2255" i="1" s="1"/>
  <c r="N2255" i="1"/>
  <c r="M2255" i="1"/>
  <c r="O2254" i="1" a="1"/>
  <c r="O2254" i="1" s="1"/>
  <c r="N2254" i="1"/>
  <c r="M2254" i="1"/>
  <c r="O2253" i="1" a="1"/>
  <c r="O2253" i="1" s="1"/>
  <c r="N2253" i="1"/>
  <c r="M2253" i="1"/>
  <c r="O2252" i="1" a="1"/>
  <c r="O2252" i="1" s="1"/>
  <c r="N2252" i="1"/>
  <c r="M2252" i="1"/>
  <c r="O2251" i="1" a="1"/>
  <c r="O2251" i="1" s="1"/>
  <c r="N2251" i="1"/>
  <c r="M2251" i="1"/>
  <c r="O2250" i="1"/>
  <c r="O2250" i="1" a="1"/>
  <c r="N2250" i="1"/>
  <c r="M2250" i="1"/>
  <c r="O2249" i="1" a="1"/>
  <c r="O2249" i="1" s="1"/>
  <c r="N2249" i="1"/>
  <c r="M2249" i="1"/>
  <c r="O2248" i="1" a="1"/>
  <c r="O2248" i="1" s="1"/>
  <c r="N2248" i="1"/>
  <c r="M2248" i="1"/>
  <c r="O2247" i="1" a="1"/>
  <c r="O2247" i="1" s="1"/>
  <c r="N2247" i="1"/>
  <c r="M2247" i="1"/>
  <c r="O2246" i="1" a="1"/>
  <c r="O2246" i="1" s="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a="1"/>
  <c r="O2239" i="1" s="1"/>
  <c r="N2239" i="1"/>
  <c r="M2239" i="1"/>
  <c r="O2238" i="1" a="1"/>
  <c r="O2238" i="1" s="1"/>
  <c r="N2238" i="1"/>
  <c r="M2238" i="1"/>
  <c r="O2237" i="1" a="1"/>
  <c r="O2237" i="1" s="1"/>
  <c r="N2237" i="1"/>
  <c r="M2237" i="1"/>
  <c r="O2236" i="1" a="1"/>
  <c r="O2236" i="1" s="1"/>
  <c r="N2236" i="1"/>
  <c r="M2236" i="1"/>
  <c r="O2235" i="1"/>
  <c r="O2235" i="1" a="1"/>
  <c r="N2235" i="1"/>
  <c r="M2235" i="1"/>
  <c r="O2234" i="1" a="1"/>
  <c r="O2234" i="1" s="1"/>
  <c r="N2234" i="1"/>
  <c r="M2234" i="1"/>
  <c r="O2233" i="1" a="1"/>
  <c r="O2233" i="1" s="1"/>
  <c r="N2233" i="1"/>
  <c r="M2233" i="1"/>
  <c r="O2232" i="1" a="1"/>
  <c r="O2232" i="1" s="1"/>
  <c r="N2232" i="1"/>
  <c r="M2232" i="1"/>
  <c r="O2231" i="1" a="1"/>
  <c r="O2231" i="1" s="1"/>
  <c r="N2231" i="1"/>
  <c r="M2231" i="1"/>
  <c r="O2230" i="1" a="1"/>
  <c r="O2230" i="1" s="1"/>
  <c r="N2230" i="1"/>
  <c r="M2230" i="1"/>
  <c r="O2229" i="1" a="1"/>
  <c r="O2229" i="1" s="1"/>
  <c r="N2229" i="1"/>
  <c r="M2229" i="1"/>
  <c r="O2228" i="1" a="1"/>
  <c r="O2228" i="1" s="1"/>
  <c r="N2228" i="1"/>
  <c r="M2228" i="1"/>
  <c r="O2227" i="1" a="1"/>
  <c r="O2227" i="1" s="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a="1"/>
  <c r="O2220" i="1" s="1"/>
  <c r="N2220" i="1"/>
  <c r="M2220" i="1"/>
  <c r="O2219" i="1" a="1"/>
  <c r="O2219" i="1" s="1"/>
  <c r="N2219" i="1"/>
  <c r="M2219" i="1"/>
  <c r="O2218" i="1" a="1"/>
  <c r="O2218" i="1" s="1"/>
  <c r="N2218" i="1"/>
  <c r="M2218" i="1"/>
  <c r="O2217" i="1" a="1"/>
  <c r="O2217" i="1" s="1"/>
  <c r="N2217" i="1"/>
  <c r="M2217" i="1"/>
  <c r="O2216" i="1" a="1"/>
  <c r="O2216" i="1" s="1"/>
  <c r="N2216" i="1"/>
  <c r="M2216" i="1"/>
  <c r="O2215" i="1" a="1"/>
  <c r="O2215" i="1" s="1"/>
  <c r="N2215" i="1"/>
  <c r="M2215" i="1"/>
  <c r="O2214" i="1" a="1"/>
  <c r="O2214" i="1" s="1"/>
  <c r="N2214" i="1"/>
  <c r="M2214" i="1"/>
  <c r="O2213" i="1" a="1"/>
  <c r="O2213" i="1" s="1"/>
  <c r="N2213" i="1"/>
  <c r="M2213" i="1"/>
  <c r="O2212" i="1" a="1"/>
  <c r="O2212" i="1" s="1"/>
  <c r="N2212" i="1"/>
  <c r="M2212" i="1"/>
  <c r="O2211" i="1" a="1"/>
  <c r="O2211" i="1" s="1"/>
  <c r="N2211" i="1"/>
  <c r="M2211" i="1"/>
  <c r="O2210" i="1" a="1"/>
  <c r="O2210" i="1" s="1"/>
  <c r="N2210" i="1"/>
  <c r="M2210" i="1"/>
  <c r="O2209" i="1"/>
  <c r="O2209" i="1" a="1"/>
  <c r="N2209" i="1"/>
  <c r="M2209" i="1"/>
  <c r="O2208" i="1" a="1"/>
  <c r="O2208" i="1" s="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a="1"/>
  <c r="O2200" i="1" s="1"/>
  <c r="N2200" i="1"/>
  <c r="M2200" i="1"/>
  <c r="O2199" i="1" a="1"/>
  <c r="O2199" i="1" s="1"/>
  <c r="N2199" i="1"/>
  <c r="M2199" i="1"/>
  <c r="O2198" i="1" a="1"/>
  <c r="O2198" i="1" s="1"/>
  <c r="N2198" i="1"/>
  <c r="M2198" i="1"/>
  <c r="O2197" i="1" a="1"/>
  <c r="O2197" i="1" s="1"/>
  <c r="N2197" i="1"/>
  <c r="M2197" i="1"/>
  <c r="O2196" i="1" a="1"/>
  <c r="O2196" i="1" s="1"/>
  <c r="N2196" i="1"/>
  <c r="M2196" i="1"/>
  <c r="O2195" i="1" a="1"/>
  <c r="O2195" i="1" s="1"/>
  <c r="N2195" i="1"/>
  <c r="M2195" i="1"/>
  <c r="O2194" i="1"/>
  <c r="O2194" i="1" a="1"/>
  <c r="N2194" i="1"/>
  <c r="M2194" i="1"/>
  <c r="O2193" i="1" a="1"/>
  <c r="O2193" i="1" s="1"/>
  <c r="N2193" i="1"/>
  <c r="M2193" i="1"/>
  <c r="O2192" i="1" a="1"/>
  <c r="O2192" i="1" s="1"/>
  <c r="N2192" i="1"/>
  <c r="M2192" i="1"/>
  <c r="O2191" i="1" a="1"/>
  <c r="O2191" i="1" s="1"/>
  <c r="N2191" i="1"/>
  <c r="M2191" i="1"/>
  <c r="O2190" i="1" a="1"/>
  <c r="O2190" i="1" s="1"/>
  <c r="N2190" i="1"/>
  <c r="M2190" i="1"/>
  <c r="O2189" i="1" a="1"/>
  <c r="O2189" i="1" s="1"/>
  <c r="N2189" i="1"/>
  <c r="M2189" i="1"/>
  <c r="O2188" i="1" a="1"/>
  <c r="O2188" i="1" s="1"/>
  <c r="N2188" i="1"/>
  <c r="M2188" i="1"/>
  <c r="O2187" i="1" a="1"/>
  <c r="O2187" i="1" s="1"/>
  <c r="N2187" i="1"/>
  <c r="M2187" i="1"/>
  <c r="O2186" i="1" a="1"/>
  <c r="O2186" i="1" s="1"/>
  <c r="N2186" i="1"/>
  <c r="M2186" i="1"/>
  <c r="O2185" i="1" a="1"/>
  <c r="O2185" i="1" s="1"/>
  <c r="N2185" i="1"/>
  <c r="M2185" i="1"/>
  <c r="O2184" i="1" a="1"/>
  <c r="O2184" i="1" s="1"/>
  <c r="N2184" i="1"/>
  <c r="M2184" i="1"/>
  <c r="O2183" i="1" a="1"/>
  <c r="O2183" i="1" s="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a="1"/>
  <c r="O2176" i="1" s="1"/>
  <c r="N2176" i="1"/>
  <c r="M2176" i="1"/>
  <c r="O2175" i="1" a="1"/>
  <c r="O2175" i="1" s="1"/>
  <c r="N2175" i="1"/>
  <c r="M2175" i="1"/>
  <c r="O2174" i="1" a="1"/>
  <c r="O2174" i="1" s="1"/>
  <c r="N2174" i="1"/>
  <c r="M2174" i="1"/>
  <c r="O2173" i="1" a="1"/>
  <c r="O2173" i="1" s="1"/>
  <c r="N2173" i="1"/>
  <c r="M2173" i="1"/>
  <c r="O2172" i="1" a="1"/>
  <c r="O2172" i="1" s="1"/>
  <c r="N2172" i="1"/>
  <c r="M2172" i="1"/>
  <c r="O2171" i="1" a="1"/>
  <c r="O2171" i="1" s="1"/>
  <c r="N2171" i="1"/>
  <c r="M2171" i="1"/>
  <c r="O2170" i="1" a="1"/>
  <c r="O2170" i="1" s="1"/>
  <c r="N2170" i="1"/>
  <c r="M2170" i="1"/>
  <c r="O2169" i="1" a="1"/>
  <c r="O2169" i="1" s="1"/>
  <c r="N2169" i="1"/>
  <c r="M2169" i="1"/>
  <c r="O2168" i="1" a="1"/>
  <c r="O2168" i="1" s="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a="1"/>
  <c r="O2159" i="1" s="1"/>
  <c r="N2159" i="1"/>
  <c r="M2159" i="1"/>
  <c r="O2158" i="1" a="1"/>
  <c r="O2158" i="1" s="1"/>
  <c r="N2158" i="1"/>
  <c r="M2158" i="1"/>
  <c r="O2157" i="1" a="1"/>
  <c r="O2157" i="1" s="1"/>
  <c r="N2157" i="1"/>
  <c r="M2157" i="1"/>
  <c r="O2156" i="1" a="1"/>
  <c r="O2156" i="1" s="1"/>
  <c r="N2156" i="1"/>
  <c r="M2156" i="1"/>
  <c r="O2155" i="1"/>
  <c r="O2155" i="1" a="1"/>
  <c r="N2155" i="1"/>
  <c r="M2155" i="1"/>
  <c r="O2154" i="1" a="1"/>
  <c r="O2154" i="1" s="1"/>
  <c r="N2154" i="1"/>
  <c r="M2154" i="1"/>
  <c r="O2153" i="1" a="1"/>
  <c r="O2153" i="1" s="1"/>
  <c r="N2153" i="1"/>
  <c r="M2153" i="1"/>
  <c r="O2152" i="1" a="1"/>
  <c r="O2152" i="1" s="1"/>
  <c r="N2152" i="1"/>
  <c r="M2152" i="1"/>
  <c r="O2151" i="1" a="1"/>
  <c r="O2151" i="1" s="1"/>
  <c r="N2151" i="1"/>
  <c r="M2151" i="1"/>
  <c r="O2150" i="1" a="1"/>
  <c r="O2150" i="1" s="1"/>
  <c r="N2150" i="1"/>
  <c r="M2150" i="1"/>
  <c r="O2149" i="1" a="1"/>
  <c r="O2149" i="1" s="1"/>
  <c r="N2149" i="1"/>
  <c r="M2149" i="1"/>
  <c r="O2148" i="1"/>
  <c r="O2148" i="1" a="1"/>
  <c r="N2148" i="1"/>
  <c r="M2148" i="1"/>
  <c r="O2147" i="1" a="1"/>
  <c r="O2147" i="1" s="1"/>
  <c r="N2147" i="1"/>
  <c r="M2147" i="1"/>
  <c r="O2146" i="1" a="1"/>
  <c r="O2146" i="1" s="1"/>
  <c r="N2146" i="1"/>
  <c r="M2146" i="1"/>
  <c r="O2145" i="1" a="1"/>
  <c r="O2145" i="1" s="1"/>
  <c r="N2145" i="1"/>
  <c r="M2145" i="1"/>
  <c r="O2144" i="1" a="1"/>
  <c r="O2144" i="1" s="1"/>
  <c r="N2144" i="1"/>
  <c r="M2144" i="1"/>
  <c r="O2143" i="1" a="1"/>
  <c r="O2143" i="1" s="1"/>
  <c r="N2143" i="1"/>
  <c r="M2143" i="1"/>
  <c r="O2142" i="1" a="1"/>
  <c r="O2142" i="1" s="1"/>
  <c r="N2142" i="1"/>
  <c r="M2142" i="1"/>
  <c r="O2141" i="1" a="1"/>
  <c r="O2141" i="1" s="1"/>
  <c r="N2141" i="1"/>
  <c r="M2141" i="1"/>
  <c r="O2140" i="1" a="1"/>
  <c r="O2140" i="1" s="1"/>
  <c r="N2140" i="1"/>
  <c r="M2140" i="1"/>
  <c r="O2139" i="1" a="1"/>
  <c r="O2139" i="1" s="1"/>
  <c r="N2139" i="1"/>
  <c r="M2139" i="1"/>
  <c r="O2138" i="1" a="1"/>
  <c r="O2138" i="1" s="1"/>
  <c r="N2138" i="1"/>
  <c r="M2138" i="1"/>
  <c r="O2137" i="1" a="1"/>
  <c r="O2137" i="1" s="1"/>
  <c r="N2137" i="1"/>
  <c r="M2137" i="1"/>
  <c r="O2136" i="1" a="1"/>
  <c r="O2136" i="1" s="1"/>
  <c r="N2136" i="1"/>
  <c r="M2136" i="1"/>
  <c r="O2135" i="1" a="1"/>
  <c r="O2135" i="1" s="1"/>
  <c r="N2135" i="1"/>
  <c r="M2135" i="1"/>
  <c r="O2134" i="1" a="1"/>
  <c r="O2134" i="1" s="1"/>
  <c r="N2134" i="1"/>
  <c r="M2134" i="1"/>
  <c r="O2133" i="1" a="1"/>
  <c r="O2133" i="1" s="1"/>
  <c r="N2133" i="1"/>
  <c r="M2133" i="1"/>
  <c r="O2132" i="1" a="1"/>
  <c r="O2132" i="1" s="1"/>
  <c r="N2132" i="1"/>
  <c r="M2132" i="1"/>
  <c r="O2131" i="1" a="1"/>
  <c r="O2131" i="1" s="1"/>
  <c r="N2131" i="1"/>
  <c r="M2131" i="1"/>
  <c r="O2130" i="1" a="1"/>
  <c r="O2130" i="1" s="1"/>
  <c r="N2130" i="1"/>
  <c r="M2130" i="1"/>
  <c r="O2129" i="1" a="1"/>
  <c r="O2129" i="1" s="1"/>
  <c r="N2129" i="1"/>
  <c r="M2129" i="1"/>
  <c r="O2128" i="1" a="1"/>
  <c r="O2128" i="1" s="1"/>
  <c r="N2128" i="1"/>
  <c r="M2128" i="1"/>
  <c r="O2127" i="1" a="1"/>
  <c r="O2127" i="1" s="1"/>
  <c r="N2127" i="1"/>
  <c r="M2127" i="1"/>
  <c r="O2126" i="1" a="1"/>
  <c r="O2126" i="1" s="1"/>
  <c r="N2126" i="1"/>
  <c r="M2126" i="1"/>
  <c r="O2125" i="1" a="1"/>
  <c r="O2125" i="1" s="1"/>
  <c r="N2125" i="1"/>
  <c r="M2125" i="1"/>
  <c r="O2124" i="1" a="1"/>
  <c r="O2124" i="1" s="1"/>
  <c r="N2124" i="1"/>
  <c r="M2124" i="1"/>
  <c r="O2123" i="1" a="1"/>
  <c r="O2123" i="1" s="1"/>
  <c r="N2123" i="1"/>
  <c r="M2123" i="1"/>
  <c r="O2122" i="1" a="1"/>
  <c r="O2122" i="1" s="1"/>
  <c r="N2122" i="1"/>
  <c r="M2122" i="1"/>
  <c r="O2121" i="1" a="1"/>
  <c r="O2121" i="1" s="1"/>
  <c r="N2121" i="1"/>
  <c r="M2121" i="1"/>
  <c r="O2120" i="1" a="1"/>
  <c r="O2120" i="1" s="1"/>
  <c r="N2120" i="1"/>
  <c r="M2120" i="1"/>
  <c r="O2119" i="1"/>
  <c r="O2119" i="1" a="1"/>
  <c r="N2119" i="1"/>
  <c r="M2119" i="1"/>
  <c r="O2118" i="1" a="1"/>
  <c r="O2118" i="1" s="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a="1"/>
  <c r="O2112" i="1" s="1"/>
  <c r="N2112" i="1"/>
  <c r="M2112" i="1"/>
  <c r="O2111" i="1" a="1"/>
  <c r="O2111" i="1" s="1"/>
  <c r="N2111" i="1"/>
  <c r="M2111" i="1"/>
  <c r="O2110" i="1" a="1"/>
  <c r="O2110" i="1" s="1"/>
  <c r="N2110" i="1"/>
  <c r="M2110" i="1"/>
  <c r="O2109" i="1" a="1"/>
  <c r="O2109" i="1" s="1"/>
  <c r="N2109" i="1"/>
  <c r="M2109" i="1"/>
  <c r="O2108" i="1" a="1"/>
  <c r="O2108" i="1" s="1"/>
  <c r="N2108" i="1"/>
  <c r="M2108" i="1"/>
  <c r="O2107" i="1" a="1"/>
  <c r="O2107" i="1" s="1"/>
  <c r="N2107" i="1"/>
  <c r="M2107" i="1"/>
  <c r="O2106" i="1" a="1"/>
  <c r="O2106" i="1" s="1"/>
  <c r="N2106" i="1"/>
  <c r="M2106" i="1"/>
  <c r="O2105" i="1" a="1"/>
  <c r="O2105" i="1" s="1"/>
  <c r="N2105" i="1"/>
  <c r="M2105" i="1"/>
  <c r="O2104" i="1" a="1"/>
  <c r="O2104" i="1" s="1"/>
  <c r="N2104" i="1"/>
  <c r="M2104" i="1"/>
  <c r="O2103" i="1" a="1"/>
  <c r="O2103" i="1" s="1"/>
  <c r="N2103" i="1"/>
  <c r="M2103" i="1"/>
  <c r="O2102" i="1" a="1"/>
  <c r="O2102" i="1" s="1"/>
  <c r="N2102" i="1"/>
  <c r="M2102" i="1"/>
  <c r="O2101" i="1" a="1"/>
  <c r="O2101" i="1" s="1"/>
  <c r="N2101" i="1"/>
  <c r="M2101" i="1"/>
  <c r="O2100" i="1" a="1"/>
  <c r="O2100" i="1" s="1"/>
  <c r="N2100" i="1"/>
  <c r="M2100" i="1"/>
  <c r="O2099" i="1"/>
  <c r="O2099" i="1" a="1"/>
  <c r="N2099" i="1"/>
  <c r="M2099" i="1"/>
  <c r="O2098" i="1" a="1"/>
  <c r="O2098" i="1" s="1"/>
  <c r="N2098" i="1"/>
  <c r="M2098" i="1"/>
  <c r="O2097" i="1" a="1"/>
  <c r="O2097" i="1" s="1"/>
  <c r="N2097" i="1"/>
  <c r="M2097" i="1"/>
  <c r="O2096" i="1" a="1"/>
  <c r="O2096" i="1" s="1"/>
  <c r="N2096" i="1"/>
  <c r="M2096" i="1"/>
  <c r="O2095" i="1" a="1"/>
  <c r="O2095" i="1" s="1"/>
  <c r="N2095" i="1"/>
  <c r="M2095" i="1"/>
  <c r="O2094" i="1" a="1"/>
  <c r="O2094" i="1" s="1"/>
  <c r="N2094" i="1"/>
  <c r="M2094" i="1"/>
  <c r="O2093" i="1" a="1"/>
  <c r="O2093" i="1" s="1"/>
  <c r="N2093" i="1"/>
  <c r="M2093" i="1"/>
  <c r="O2092" i="1" a="1"/>
  <c r="O2092" i="1" s="1"/>
  <c r="N2092" i="1"/>
  <c r="M2092" i="1"/>
  <c r="O2091" i="1"/>
  <c r="O2091" i="1" a="1"/>
  <c r="N2091" i="1"/>
  <c r="M2091" i="1"/>
  <c r="O2090" i="1" a="1"/>
  <c r="O2090" i="1" s="1"/>
  <c r="N2090" i="1"/>
  <c r="M2090" i="1"/>
  <c r="O2089" i="1" a="1"/>
  <c r="O2089" i="1" s="1"/>
  <c r="N2089" i="1"/>
  <c r="M2089" i="1"/>
  <c r="O2088" i="1" a="1"/>
  <c r="O2088" i="1" s="1"/>
  <c r="N2088" i="1"/>
  <c r="M2088" i="1"/>
  <c r="O2087" i="1" a="1"/>
  <c r="O2087" i="1" s="1"/>
  <c r="N2087" i="1"/>
  <c r="M2087" i="1"/>
  <c r="O2086" i="1" a="1"/>
  <c r="O2086" i="1" s="1"/>
  <c r="N2086" i="1"/>
  <c r="M2086" i="1"/>
  <c r="O2085" i="1" a="1"/>
  <c r="O2085" i="1" s="1"/>
  <c r="N2085" i="1"/>
  <c r="M2085" i="1"/>
  <c r="O2084" i="1" a="1"/>
  <c r="O2084" i="1" s="1"/>
  <c r="N2084" i="1"/>
  <c r="M2084" i="1"/>
  <c r="O2083" i="1" a="1"/>
  <c r="O2083" i="1" s="1"/>
  <c r="N2083" i="1"/>
  <c r="M2083" i="1"/>
  <c r="O2082" i="1"/>
  <c r="O2082" i="1" a="1"/>
  <c r="N2082" i="1"/>
  <c r="M2082" i="1"/>
  <c r="O2081" i="1" a="1"/>
  <c r="O2081" i="1" s="1"/>
  <c r="N2081" i="1"/>
  <c r="M2081" i="1"/>
  <c r="O2080" i="1" a="1"/>
  <c r="O2080" i="1" s="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a="1"/>
  <c r="O2071" i="1" s="1"/>
  <c r="N2071" i="1"/>
  <c r="M2071" i="1"/>
  <c r="O2070" i="1" a="1"/>
  <c r="O2070" i="1" s="1"/>
  <c r="N2070" i="1"/>
  <c r="M2070" i="1"/>
  <c r="O2069" i="1" a="1"/>
  <c r="O2069" i="1" s="1"/>
  <c r="N2069" i="1"/>
  <c r="M2069" i="1"/>
  <c r="O2068" i="1"/>
  <c r="O2068" i="1" a="1"/>
  <c r="N2068" i="1"/>
  <c r="M2068" i="1"/>
  <c r="O2067" i="1" a="1"/>
  <c r="O2067" i="1" s="1"/>
  <c r="N2067" i="1"/>
  <c r="M2067" i="1"/>
  <c r="O2066" i="1" a="1"/>
  <c r="O2066" i="1" s="1"/>
  <c r="N2066" i="1"/>
  <c r="M2066" i="1"/>
  <c r="O2065" i="1" a="1"/>
  <c r="O2065" i="1" s="1"/>
  <c r="N2065" i="1"/>
  <c r="M2065" i="1"/>
  <c r="O2064" i="1" a="1"/>
  <c r="O2064" i="1" s="1"/>
  <c r="N2064" i="1"/>
  <c r="M2064" i="1"/>
  <c r="O2063" i="1" a="1"/>
  <c r="O2063" i="1" s="1"/>
  <c r="N2063" i="1"/>
  <c r="M2063" i="1"/>
  <c r="O2062" i="1" a="1"/>
  <c r="O2062" i="1" s="1"/>
  <c r="N2062" i="1"/>
  <c r="M2062" i="1"/>
  <c r="O2061" i="1" a="1"/>
  <c r="O2061" i="1" s="1"/>
  <c r="N2061" i="1"/>
  <c r="M2061" i="1"/>
  <c r="O2060" i="1" a="1"/>
  <c r="O2060" i="1" s="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a="1"/>
  <c r="O2053" i="1" s="1"/>
  <c r="N2053" i="1"/>
  <c r="M2053" i="1"/>
  <c r="O2052" i="1" a="1"/>
  <c r="O2052" i="1" s="1"/>
  <c r="N2052" i="1"/>
  <c r="M2052" i="1"/>
  <c r="O2051" i="1" a="1"/>
  <c r="O2051" i="1" s="1"/>
  <c r="N2051" i="1"/>
  <c r="M2051" i="1"/>
  <c r="O2050" i="1" a="1"/>
  <c r="O2050" i="1" s="1"/>
  <c r="N2050" i="1"/>
  <c r="M2050" i="1"/>
  <c r="O2049" i="1" a="1"/>
  <c r="O2049" i="1" s="1"/>
  <c r="N2049" i="1"/>
  <c r="M2049" i="1"/>
  <c r="O2048" i="1" a="1"/>
  <c r="O2048" i="1" s="1"/>
  <c r="N2048" i="1"/>
  <c r="M2048" i="1"/>
  <c r="O2047" i="1" a="1"/>
  <c r="O2047" i="1" s="1"/>
  <c r="N2047" i="1"/>
  <c r="M2047" i="1"/>
  <c r="O2046" i="1" a="1"/>
  <c r="O2046" i="1" s="1"/>
  <c r="N2046" i="1"/>
  <c r="M2046" i="1"/>
  <c r="O2045" i="1" a="1"/>
  <c r="O2045" i="1" s="1"/>
  <c r="N2045" i="1"/>
  <c r="M2045" i="1"/>
  <c r="O2044" i="1" a="1"/>
  <c r="O2044" i="1" s="1"/>
  <c r="N2044" i="1"/>
  <c r="M2044" i="1"/>
  <c r="O2043" i="1" a="1"/>
  <c r="O2043" i="1" s="1"/>
  <c r="N2043" i="1"/>
  <c r="M2043" i="1"/>
  <c r="O2042" i="1" a="1"/>
  <c r="O2042" i="1" s="1"/>
  <c r="N2042" i="1"/>
  <c r="M2042" i="1"/>
  <c r="O2041" i="1" a="1"/>
  <c r="O2041" i="1" s="1"/>
  <c r="N2041" i="1"/>
  <c r="M2041" i="1"/>
  <c r="O2040" i="1" a="1"/>
  <c r="O2040" i="1" s="1"/>
  <c r="N2040" i="1"/>
  <c r="M2040" i="1"/>
  <c r="O2039" i="1" a="1"/>
  <c r="O2039" i="1" s="1"/>
  <c r="N2039" i="1"/>
  <c r="M2039" i="1"/>
  <c r="O2038" i="1" a="1"/>
  <c r="O2038" i="1" s="1"/>
  <c r="N2038" i="1"/>
  <c r="M2038" i="1"/>
  <c r="O2037" i="1" a="1"/>
  <c r="O2037" i="1" s="1"/>
  <c r="N2037" i="1"/>
  <c r="M2037" i="1"/>
  <c r="O2036" i="1" a="1"/>
  <c r="O2036" i="1" s="1"/>
  <c r="N2036" i="1"/>
  <c r="M2036" i="1"/>
  <c r="O2035" i="1" a="1"/>
  <c r="O2035" i="1" s="1"/>
  <c r="N2035" i="1"/>
  <c r="M2035" i="1"/>
  <c r="O2034" i="1" a="1"/>
  <c r="O2034" i="1" s="1"/>
  <c r="N2034" i="1"/>
  <c r="M2034" i="1"/>
  <c r="O2033" i="1" a="1"/>
  <c r="O2033" i="1" s="1"/>
  <c r="N2033" i="1"/>
  <c r="M2033" i="1"/>
  <c r="O2032" i="1" a="1"/>
  <c r="O2032" i="1" s="1"/>
  <c r="N2032" i="1"/>
  <c r="M2032" i="1"/>
  <c r="O2031" i="1" a="1"/>
  <c r="O2031" i="1" s="1"/>
  <c r="N2031" i="1"/>
  <c r="M2031" i="1"/>
  <c r="O2030" i="1" a="1"/>
  <c r="O2030" i="1" s="1"/>
  <c r="N2030" i="1"/>
  <c r="M2030" i="1"/>
  <c r="O2029" i="1" a="1"/>
  <c r="O2029" i="1" s="1"/>
  <c r="N2029" i="1"/>
  <c r="M2029" i="1"/>
  <c r="O2028" i="1" a="1"/>
  <c r="O2028" i="1" s="1"/>
  <c r="N2028" i="1"/>
  <c r="M2028" i="1"/>
  <c r="O2027" i="1" a="1"/>
  <c r="O2027" i="1" s="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a="1"/>
  <c r="O2021" i="1" s="1"/>
  <c r="N2021" i="1"/>
  <c r="M2021" i="1"/>
  <c r="O2020" i="1" a="1"/>
  <c r="O2020" i="1" s="1"/>
  <c r="N2020" i="1"/>
  <c r="M2020" i="1"/>
  <c r="O2019" i="1" a="1"/>
  <c r="O2019" i="1" s="1"/>
  <c r="N2019" i="1"/>
  <c r="M2019" i="1"/>
  <c r="O2018" i="1" a="1"/>
  <c r="O2018" i="1" s="1"/>
  <c r="N2018" i="1"/>
  <c r="M2018" i="1"/>
  <c r="O2017" i="1" a="1"/>
  <c r="O2017" i="1" s="1"/>
  <c r="N2017" i="1"/>
  <c r="M2017" i="1"/>
  <c r="O2016" i="1" a="1"/>
  <c r="O2016" i="1" s="1"/>
  <c r="N2016" i="1"/>
  <c r="M2016" i="1"/>
  <c r="O2015" i="1"/>
  <c r="O2015" i="1" a="1"/>
  <c r="N2015" i="1"/>
  <c r="M2015" i="1"/>
  <c r="O2014" i="1" a="1"/>
  <c r="O2014" i="1" s="1"/>
  <c r="N2014" i="1"/>
  <c r="M2014" i="1"/>
  <c r="O2013" i="1" a="1"/>
  <c r="O2013" i="1" s="1"/>
  <c r="N2013" i="1"/>
  <c r="M2013" i="1"/>
  <c r="O2012" i="1" a="1"/>
  <c r="O2012" i="1" s="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a="1"/>
  <c r="O2001" i="1" s="1"/>
  <c r="N2001" i="1"/>
  <c r="M2001" i="1"/>
  <c r="O2000" i="1" a="1"/>
  <c r="O2000" i="1" s="1"/>
  <c r="N2000" i="1"/>
  <c r="M2000" i="1"/>
  <c r="O1999" i="1" a="1"/>
  <c r="O1999" i="1" s="1"/>
  <c r="N1999" i="1"/>
  <c r="M1999" i="1"/>
  <c r="O1998" i="1" a="1"/>
  <c r="O1998" i="1" s="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a="1"/>
  <c r="O1992" i="1" s="1"/>
  <c r="N1992" i="1"/>
  <c r="M1992" i="1"/>
  <c r="O1991" i="1" a="1"/>
  <c r="O1991" i="1" s="1"/>
  <c r="N1991" i="1"/>
  <c r="M1991" i="1"/>
  <c r="O1990" i="1" a="1"/>
  <c r="O1990" i="1" s="1"/>
  <c r="N1990" i="1"/>
  <c r="M1990" i="1"/>
  <c r="O1989" i="1" a="1"/>
  <c r="O1989" i="1" s="1"/>
  <c r="N1989" i="1"/>
  <c r="M1989" i="1"/>
  <c r="O1988" i="1" a="1"/>
  <c r="O1988" i="1" s="1"/>
  <c r="N1988" i="1"/>
  <c r="M1988" i="1"/>
  <c r="O1987" i="1" a="1"/>
  <c r="O1987" i="1" s="1"/>
  <c r="N1987" i="1"/>
  <c r="M1987" i="1"/>
  <c r="O1986" i="1" a="1"/>
  <c r="O1986" i="1" s="1"/>
  <c r="N1986" i="1"/>
  <c r="M1986" i="1"/>
  <c r="O1985" i="1" a="1"/>
  <c r="O1985" i="1" s="1"/>
  <c r="N1985" i="1"/>
  <c r="M1985" i="1"/>
  <c r="O1984" i="1" a="1"/>
  <c r="O1984" i="1" s="1"/>
  <c r="N1984" i="1"/>
  <c r="M1984" i="1"/>
  <c r="O1983" i="1"/>
  <c r="O1983" i="1" a="1"/>
  <c r="N1983" i="1"/>
  <c r="M1983" i="1"/>
  <c r="O1982" i="1" a="1"/>
  <c r="O1982" i="1" s="1"/>
  <c r="N1982" i="1"/>
  <c r="M1982" i="1"/>
  <c r="O1981" i="1" a="1"/>
  <c r="O1981" i="1" s="1"/>
  <c r="N1981" i="1"/>
  <c r="M1981" i="1"/>
  <c r="O1980" i="1" a="1"/>
  <c r="O1980" i="1" s="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a="1"/>
  <c r="O1972" i="1" s="1"/>
  <c r="N1972" i="1"/>
  <c r="M1972" i="1"/>
  <c r="O1971" i="1"/>
  <c r="O1971" i="1" a="1"/>
  <c r="N1971" i="1"/>
  <c r="M1971" i="1"/>
  <c r="O1970" i="1" a="1"/>
  <c r="O1970" i="1" s="1"/>
  <c r="N1970" i="1"/>
  <c r="M1970" i="1"/>
  <c r="O1969" i="1" a="1"/>
  <c r="O1969" i="1" s="1"/>
  <c r="N1969" i="1"/>
  <c r="M1969" i="1"/>
  <c r="O1968" i="1" a="1"/>
  <c r="O1968" i="1" s="1"/>
  <c r="N1968" i="1"/>
  <c r="M1968" i="1"/>
  <c r="O1967" i="1" a="1"/>
  <c r="O1967" i="1" s="1"/>
  <c r="N1967" i="1"/>
  <c r="M1967" i="1"/>
  <c r="O1966" i="1" a="1"/>
  <c r="O1966" i="1" s="1"/>
  <c r="N1966" i="1"/>
  <c r="M1966" i="1"/>
  <c r="O1965" i="1" a="1"/>
  <c r="O1965" i="1" s="1"/>
  <c r="N1965" i="1"/>
  <c r="M1965" i="1"/>
  <c r="O1964" i="1" a="1"/>
  <c r="O1964" i="1" s="1"/>
  <c r="N1964" i="1"/>
  <c r="M1964" i="1"/>
  <c r="O1963" i="1" a="1"/>
  <c r="O1963" i="1" s="1"/>
  <c r="N1963" i="1"/>
  <c r="M1963" i="1"/>
  <c r="O1962" i="1" a="1"/>
  <c r="O1962" i="1" s="1"/>
  <c r="N1962" i="1"/>
  <c r="M1962" i="1"/>
  <c r="O1961" i="1" a="1"/>
  <c r="O1961" i="1" s="1"/>
  <c r="N1961" i="1"/>
  <c r="M1961" i="1"/>
  <c r="O1960" i="1" a="1"/>
  <c r="O1960" i="1" s="1"/>
  <c r="N1960" i="1"/>
  <c r="M1960" i="1"/>
  <c r="O1959" i="1" a="1"/>
  <c r="O1959" i="1" s="1"/>
  <c r="N1959" i="1"/>
  <c r="M1959" i="1"/>
  <c r="O1958" i="1" a="1"/>
  <c r="O1958" i="1" s="1"/>
  <c r="N1958" i="1"/>
  <c r="M1958" i="1"/>
  <c r="O1957" i="1" a="1"/>
  <c r="O1957" i="1" s="1"/>
  <c r="N1957" i="1"/>
  <c r="M1957" i="1"/>
  <c r="O1956" i="1" a="1"/>
  <c r="O1956" i="1" s="1"/>
  <c r="N1956" i="1"/>
  <c r="M1956" i="1"/>
  <c r="O1955" i="1" a="1"/>
  <c r="O1955" i="1" s="1"/>
  <c r="N1955" i="1"/>
  <c r="M1955" i="1"/>
  <c r="O1954" i="1"/>
  <c r="O1954" i="1" a="1"/>
  <c r="N1954" i="1"/>
  <c r="M1954" i="1"/>
  <c r="O1953" i="1" a="1"/>
  <c r="O1953" i="1" s="1"/>
  <c r="N1953" i="1"/>
  <c r="M1953" i="1"/>
  <c r="O1952" i="1" a="1"/>
  <c r="O1952" i="1" s="1"/>
  <c r="N1952" i="1"/>
  <c r="M1952" i="1"/>
  <c r="O1951" i="1" a="1"/>
  <c r="O1951" i="1" s="1"/>
  <c r="N1951" i="1"/>
  <c r="M1951" i="1"/>
  <c r="O1950" i="1" a="1"/>
  <c r="O1950" i="1" s="1"/>
  <c r="N1950" i="1"/>
  <c r="M1950" i="1"/>
  <c r="O1949" i="1" a="1"/>
  <c r="O1949" i="1" s="1"/>
  <c r="N1949" i="1"/>
  <c r="M1949" i="1"/>
  <c r="O1948" i="1" a="1"/>
  <c r="O1948" i="1" s="1"/>
  <c r="N1948" i="1"/>
  <c r="M1948" i="1"/>
  <c r="O1947" i="1" a="1"/>
  <c r="O1947" i="1" s="1"/>
  <c r="N1947" i="1"/>
  <c r="M1947" i="1"/>
  <c r="O1946" i="1" a="1"/>
  <c r="O1946" i="1" s="1"/>
  <c r="N1946" i="1"/>
  <c r="M1946" i="1"/>
  <c r="O1945" i="1" a="1"/>
  <c r="O1945" i="1" s="1"/>
  <c r="N1945" i="1"/>
  <c r="M1945" i="1"/>
  <c r="O1944" i="1" a="1"/>
  <c r="O1944" i="1" s="1"/>
  <c r="N1944" i="1"/>
  <c r="M1944" i="1"/>
  <c r="O1943" i="1" a="1"/>
  <c r="O1943" i="1" s="1"/>
  <c r="N1943" i="1"/>
  <c r="M1943" i="1"/>
  <c r="O1942" i="1" a="1"/>
  <c r="O1942" i="1" s="1"/>
  <c r="N1942" i="1"/>
  <c r="M1942" i="1"/>
  <c r="O1941" i="1" a="1"/>
  <c r="O1941" i="1" s="1"/>
  <c r="N1941" i="1"/>
  <c r="M1941" i="1"/>
  <c r="O1940" i="1" a="1"/>
  <c r="O1940" i="1" s="1"/>
  <c r="N1940" i="1"/>
  <c r="M1940" i="1"/>
  <c r="O1939" i="1" a="1"/>
  <c r="O1939" i="1" s="1"/>
  <c r="N1939" i="1"/>
  <c r="M1939" i="1"/>
  <c r="O1938" i="1" a="1"/>
  <c r="O1938" i="1" s="1"/>
  <c r="N1938" i="1"/>
  <c r="M1938" i="1"/>
  <c r="O1937" i="1" a="1"/>
  <c r="O1937" i="1" s="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a="1"/>
  <c r="O1930" i="1" s="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a="1"/>
  <c r="O1922" i="1" s="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a="1"/>
  <c r="O1914" i="1" s="1"/>
  <c r="N1914" i="1"/>
  <c r="M1914" i="1"/>
  <c r="O1913" i="1" a="1"/>
  <c r="O1913" i="1" s="1"/>
  <c r="N1913" i="1"/>
  <c r="M1913" i="1"/>
  <c r="O1912" i="1" a="1"/>
  <c r="O1912" i="1" s="1"/>
  <c r="N1912" i="1"/>
  <c r="M1912" i="1"/>
  <c r="O1911" i="1" a="1"/>
  <c r="O1911" i="1" s="1"/>
  <c r="N1911" i="1"/>
  <c r="M1911" i="1"/>
  <c r="O1910" i="1" a="1"/>
  <c r="O1910" i="1" s="1"/>
  <c r="N1910" i="1"/>
  <c r="M1910" i="1"/>
  <c r="O1909" i="1" a="1"/>
  <c r="O1909" i="1" s="1"/>
  <c r="N1909" i="1"/>
  <c r="M1909" i="1"/>
  <c r="O1908" i="1" a="1"/>
  <c r="O1908" i="1" s="1"/>
  <c r="N1908" i="1"/>
  <c r="M1908" i="1"/>
  <c r="O1907" i="1" a="1"/>
  <c r="O1907" i="1" s="1"/>
  <c r="N1907" i="1"/>
  <c r="M1907" i="1"/>
  <c r="O1906" i="1" a="1"/>
  <c r="O1906" i="1" s="1"/>
  <c r="N1906" i="1"/>
  <c r="M1906" i="1"/>
  <c r="O1905" i="1" a="1"/>
  <c r="O1905" i="1" s="1"/>
  <c r="N1905" i="1"/>
  <c r="M1905" i="1"/>
  <c r="O1904" i="1" a="1"/>
  <c r="O1904" i="1" s="1"/>
  <c r="N1904" i="1"/>
  <c r="M1904" i="1"/>
  <c r="O1903" i="1" a="1"/>
  <c r="O1903" i="1" s="1"/>
  <c r="N1903" i="1"/>
  <c r="M1903" i="1"/>
  <c r="O1902" i="1" a="1"/>
  <c r="O1902" i="1" s="1"/>
  <c r="N1902" i="1"/>
  <c r="M1902" i="1"/>
  <c r="O1901" i="1" a="1"/>
  <c r="O1901" i="1" s="1"/>
  <c r="N1901" i="1"/>
  <c r="M1901" i="1"/>
  <c r="O1900" i="1" a="1"/>
  <c r="O1900" i="1" s="1"/>
  <c r="N1900" i="1"/>
  <c r="M1900" i="1"/>
  <c r="O1899" i="1" a="1"/>
  <c r="O1899" i="1" s="1"/>
  <c r="N1899" i="1"/>
  <c r="M1899" i="1"/>
  <c r="O1898" i="1" a="1"/>
  <c r="O1898" i="1" s="1"/>
  <c r="N1898" i="1"/>
  <c r="M1898" i="1"/>
  <c r="O1897" i="1" a="1"/>
  <c r="O1897" i="1" s="1"/>
  <c r="N1897" i="1"/>
  <c r="M1897" i="1"/>
  <c r="O1896" i="1" a="1"/>
  <c r="O1896" i="1" s="1"/>
  <c r="N1896" i="1"/>
  <c r="M1896" i="1"/>
  <c r="O1895" i="1" a="1"/>
  <c r="O1895" i="1" s="1"/>
  <c r="N1895" i="1"/>
  <c r="M1895" i="1"/>
  <c r="O1894" i="1" a="1"/>
  <c r="O1894" i="1" s="1"/>
  <c r="N1894" i="1"/>
  <c r="M1894" i="1"/>
  <c r="O1893" i="1" a="1"/>
  <c r="O1893" i="1" s="1"/>
  <c r="N1893" i="1"/>
  <c r="M1893" i="1"/>
  <c r="O1892" i="1" a="1"/>
  <c r="O1892" i="1" s="1"/>
  <c r="N1892" i="1"/>
  <c r="M1892" i="1"/>
  <c r="O1891" i="1" a="1"/>
  <c r="O1891" i="1" s="1"/>
  <c r="N1891" i="1"/>
  <c r="M1891" i="1"/>
  <c r="O1890" i="1" a="1"/>
  <c r="O1890" i="1" s="1"/>
  <c r="N1890" i="1"/>
  <c r="M1890" i="1"/>
  <c r="O1889" i="1" a="1"/>
  <c r="O1889" i="1" s="1"/>
  <c r="N1889" i="1"/>
  <c r="M1889" i="1"/>
  <c r="O1888" i="1" a="1"/>
  <c r="O1888" i="1" s="1"/>
  <c r="N1888" i="1"/>
  <c r="M1888" i="1"/>
  <c r="O1887" i="1" a="1"/>
  <c r="O1887" i="1" s="1"/>
  <c r="N1887" i="1"/>
  <c r="M1887" i="1"/>
  <c r="O1886" i="1" a="1"/>
  <c r="O1886" i="1" s="1"/>
  <c r="N1886" i="1"/>
  <c r="M1886" i="1"/>
  <c r="O1885" i="1" a="1"/>
  <c r="O1885" i="1" s="1"/>
  <c r="N1885" i="1"/>
  <c r="M1885" i="1"/>
  <c r="O1884" i="1" a="1"/>
  <c r="O1884" i="1" s="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a="1"/>
  <c r="O1877" i="1" s="1"/>
  <c r="N1877" i="1"/>
  <c r="M1877" i="1"/>
  <c r="O1876" i="1" a="1"/>
  <c r="O1876" i="1" s="1"/>
  <c r="N1876" i="1"/>
  <c r="M1876" i="1"/>
  <c r="O1875" i="1" a="1"/>
  <c r="O1875" i="1" s="1"/>
  <c r="N1875" i="1"/>
  <c r="M1875" i="1"/>
  <c r="O1874" i="1" a="1"/>
  <c r="O1874" i="1" s="1"/>
  <c r="N1874" i="1"/>
  <c r="M1874" i="1"/>
  <c r="O1873" i="1" a="1"/>
  <c r="O1873" i="1" s="1"/>
  <c r="N1873" i="1"/>
  <c r="M1873" i="1"/>
  <c r="O1872" i="1" a="1"/>
  <c r="O1872" i="1" s="1"/>
  <c r="N1872" i="1"/>
  <c r="M1872" i="1"/>
  <c r="O1871" i="1" a="1"/>
  <c r="O1871" i="1" s="1"/>
  <c r="N1871" i="1"/>
  <c r="M1871" i="1"/>
  <c r="O1870" i="1" a="1"/>
  <c r="O1870" i="1" s="1"/>
  <c r="N1870" i="1"/>
  <c r="M1870" i="1"/>
  <c r="O1869" i="1" a="1"/>
  <c r="O1869" i="1" s="1"/>
  <c r="N1869" i="1"/>
  <c r="M1869" i="1"/>
  <c r="O1868" i="1" a="1"/>
  <c r="O1868" i="1" s="1"/>
  <c r="N1868" i="1"/>
  <c r="M1868" i="1"/>
  <c r="O1867" i="1" a="1"/>
  <c r="O1867" i="1" s="1"/>
  <c r="N1867" i="1"/>
  <c r="M1867" i="1"/>
  <c r="O1866" i="1" a="1"/>
  <c r="O1866" i="1" s="1"/>
  <c r="N1866" i="1"/>
  <c r="M1866" i="1"/>
  <c r="O1865" i="1" a="1"/>
  <c r="O1865" i="1" s="1"/>
  <c r="N1865" i="1"/>
  <c r="M1865" i="1"/>
  <c r="O1864" i="1" a="1"/>
  <c r="O1864" i="1" s="1"/>
  <c r="N1864" i="1"/>
  <c r="M1864" i="1"/>
  <c r="O1863" i="1" a="1"/>
  <c r="O1863" i="1" s="1"/>
  <c r="N1863" i="1"/>
  <c r="M1863" i="1"/>
  <c r="O1862" i="1" a="1"/>
  <c r="O1862" i="1" s="1"/>
  <c r="N1862" i="1"/>
  <c r="M1862" i="1"/>
  <c r="O1861" i="1" a="1"/>
  <c r="O1861" i="1" s="1"/>
  <c r="N1861" i="1"/>
  <c r="M1861" i="1"/>
  <c r="O1860" i="1" a="1"/>
  <c r="O1860" i="1" s="1"/>
  <c r="N1860" i="1"/>
  <c r="M1860" i="1"/>
  <c r="O1859" i="1" a="1"/>
  <c r="O1859" i="1" s="1"/>
  <c r="N1859" i="1"/>
  <c r="M1859" i="1"/>
  <c r="O1858" i="1" a="1"/>
  <c r="O1858" i="1" s="1"/>
  <c r="N1858" i="1"/>
  <c r="M1858" i="1"/>
  <c r="O1857" i="1" a="1"/>
  <c r="O1857" i="1" s="1"/>
  <c r="N1857" i="1"/>
  <c r="M1857" i="1"/>
  <c r="O1856" i="1" a="1"/>
  <c r="O1856" i="1" s="1"/>
  <c r="N1856" i="1"/>
  <c r="M1856" i="1"/>
  <c r="O1855" i="1" a="1"/>
  <c r="O1855" i="1" s="1"/>
  <c r="N1855" i="1"/>
  <c r="M1855" i="1"/>
  <c r="O1854" i="1" a="1"/>
  <c r="O1854" i="1" s="1"/>
  <c r="N1854" i="1"/>
  <c r="M1854" i="1"/>
  <c r="O1853" i="1" a="1"/>
  <c r="O1853" i="1" s="1"/>
  <c r="N1853" i="1"/>
  <c r="M1853" i="1"/>
  <c r="O1852" i="1" a="1"/>
  <c r="O1852" i="1" s="1"/>
  <c r="N1852" i="1"/>
  <c r="M1852" i="1"/>
  <c r="O1851" i="1" a="1"/>
  <c r="O1851" i="1" s="1"/>
  <c r="N1851" i="1"/>
  <c r="M1851" i="1"/>
  <c r="O1850" i="1" a="1"/>
  <c r="O1850" i="1" s="1"/>
  <c r="N1850" i="1"/>
  <c r="M1850" i="1"/>
  <c r="O1849" i="1" a="1"/>
  <c r="O1849" i="1" s="1"/>
  <c r="N1849" i="1"/>
  <c r="M1849" i="1"/>
  <c r="O1848" i="1" a="1"/>
  <c r="O1848" i="1" s="1"/>
  <c r="N1848" i="1"/>
  <c r="M1848" i="1"/>
  <c r="O1847" i="1" a="1"/>
  <c r="O1847" i="1" s="1"/>
  <c r="N1847" i="1"/>
  <c r="M1847" i="1"/>
  <c r="O1846" i="1" a="1"/>
  <c r="O1846" i="1" s="1"/>
  <c r="N1846" i="1"/>
  <c r="M1846" i="1"/>
  <c r="O1845" i="1" a="1"/>
  <c r="O1845" i="1" s="1"/>
  <c r="N1845" i="1"/>
  <c r="M1845" i="1"/>
  <c r="O1844" i="1" a="1"/>
  <c r="O1844" i="1" s="1"/>
  <c r="N1844" i="1"/>
  <c r="M1844" i="1"/>
  <c r="O1843" i="1" a="1"/>
  <c r="O1843" i="1" s="1"/>
  <c r="N1843" i="1"/>
  <c r="M1843" i="1"/>
  <c r="O1842" i="1" a="1"/>
  <c r="O1842" i="1" s="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a="1"/>
  <c r="O1836" i="1" s="1"/>
  <c r="N1836" i="1"/>
  <c r="M1836" i="1"/>
  <c r="O1835" i="1"/>
  <c r="O1835" i="1" a="1"/>
  <c r="N1835" i="1"/>
  <c r="M1835" i="1"/>
  <c r="O1834" i="1" a="1"/>
  <c r="O1834" i="1" s="1"/>
  <c r="N1834" i="1"/>
  <c r="M1834" i="1"/>
  <c r="O1833" i="1" a="1"/>
  <c r="O1833" i="1" s="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a="1"/>
  <c r="O1825" i="1" s="1"/>
  <c r="N1825" i="1"/>
  <c r="M1825" i="1"/>
  <c r="O1824" i="1" a="1"/>
  <c r="O1824" i="1" s="1"/>
  <c r="N1824" i="1"/>
  <c r="M1824" i="1"/>
  <c r="O1823" i="1" a="1"/>
  <c r="O1823" i="1" s="1"/>
  <c r="N1823" i="1"/>
  <c r="M1823" i="1"/>
  <c r="O1822" i="1" a="1"/>
  <c r="O1822" i="1" s="1"/>
  <c r="N1822" i="1"/>
  <c r="M1822" i="1"/>
  <c r="O1821" i="1" a="1"/>
  <c r="O1821" i="1" s="1"/>
  <c r="N1821" i="1"/>
  <c r="M1821" i="1"/>
  <c r="O1820" i="1" a="1"/>
  <c r="O1820" i="1" s="1"/>
  <c r="N1820" i="1"/>
  <c r="M1820" i="1"/>
  <c r="O1819" i="1" a="1"/>
  <c r="O1819" i="1" s="1"/>
  <c r="N1819" i="1"/>
  <c r="M1819" i="1"/>
  <c r="O1818" i="1" a="1"/>
  <c r="O1818" i="1" s="1"/>
  <c r="N1818" i="1"/>
  <c r="M1818" i="1"/>
  <c r="O1817" i="1" a="1"/>
  <c r="O1817" i="1" s="1"/>
  <c r="N1817" i="1"/>
  <c r="M1817" i="1"/>
  <c r="O1816" i="1" a="1"/>
  <c r="O1816" i="1" s="1"/>
  <c r="N1816" i="1"/>
  <c r="M1816" i="1"/>
  <c r="O1815" i="1" a="1"/>
  <c r="O1815" i="1" s="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a="1"/>
  <c r="O1809" i="1" s="1"/>
  <c r="N1809" i="1"/>
  <c r="M1809" i="1"/>
  <c r="O1808" i="1" a="1"/>
  <c r="O1808" i="1" s="1"/>
  <c r="N1808" i="1"/>
  <c r="M1808" i="1"/>
  <c r="O1807" i="1" a="1"/>
  <c r="O1807" i="1" s="1"/>
  <c r="N1807" i="1"/>
  <c r="M1807" i="1"/>
  <c r="O1806" i="1" a="1"/>
  <c r="O1806" i="1" s="1"/>
  <c r="N1806" i="1"/>
  <c r="M1806" i="1"/>
  <c r="O1805" i="1" a="1"/>
  <c r="O1805" i="1" s="1"/>
  <c r="N1805" i="1"/>
  <c r="M1805" i="1"/>
  <c r="O1804" i="1" a="1"/>
  <c r="O1804" i="1" s="1"/>
  <c r="N1804" i="1"/>
  <c r="M1804" i="1"/>
  <c r="O1803" i="1" a="1"/>
  <c r="O1803" i="1" s="1"/>
  <c r="N1803" i="1"/>
  <c r="M1803" i="1"/>
  <c r="O1802" i="1" a="1"/>
  <c r="O1802" i="1" s="1"/>
  <c r="N1802" i="1"/>
  <c r="M1802" i="1"/>
  <c r="O1801" i="1" a="1"/>
  <c r="O1801" i="1" s="1"/>
  <c r="N1801" i="1"/>
  <c r="M1801" i="1"/>
  <c r="O1800" i="1" a="1"/>
  <c r="O1800" i="1" s="1"/>
  <c r="N1800" i="1"/>
  <c r="M1800" i="1"/>
  <c r="O1799" i="1"/>
  <c r="O1799" i="1" a="1"/>
  <c r="N1799" i="1"/>
  <c r="M1799" i="1"/>
  <c r="O1798" i="1" a="1"/>
  <c r="O1798" i="1" s="1"/>
  <c r="N1798" i="1"/>
  <c r="M1798" i="1"/>
  <c r="O1797" i="1"/>
  <c r="O1797" i="1" a="1"/>
  <c r="N1797" i="1"/>
  <c r="M1797" i="1"/>
  <c r="O1796" i="1" a="1"/>
  <c r="O1796" i="1" s="1"/>
  <c r="N1796" i="1"/>
  <c r="M1796" i="1"/>
  <c r="O1795" i="1" a="1"/>
  <c r="O1795" i="1" s="1"/>
  <c r="N1795" i="1"/>
  <c r="M1795" i="1"/>
  <c r="O1794" i="1" a="1"/>
  <c r="O1794" i="1" s="1"/>
  <c r="N1794" i="1"/>
  <c r="M1794" i="1"/>
  <c r="O1793" i="1" a="1"/>
  <c r="O1793" i="1" s="1"/>
  <c r="N1793" i="1"/>
  <c r="M1793" i="1"/>
  <c r="O1792" i="1" a="1"/>
  <c r="O1792" i="1" s="1"/>
  <c r="N1792" i="1"/>
  <c r="M1792" i="1"/>
  <c r="O1791" i="1" a="1"/>
  <c r="O1791" i="1" s="1"/>
  <c r="N1791" i="1"/>
  <c r="M1791" i="1"/>
  <c r="O1790" i="1" a="1"/>
  <c r="O1790" i="1" s="1"/>
  <c r="N1790" i="1"/>
  <c r="M1790" i="1"/>
  <c r="O1789" i="1" a="1"/>
  <c r="O1789" i="1" s="1"/>
  <c r="N1789" i="1"/>
  <c r="M1789" i="1"/>
  <c r="O1788" i="1" a="1"/>
  <c r="O1788" i="1" s="1"/>
  <c r="N1788" i="1"/>
  <c r="M1788" i="1"/>
  <c r="O1787" i="1" a="1"/>
  <c r="O1787" i="1" s="1"/>
  <c r="N1787" i="1"/>
  <c r="M1787" i="1"/>
  <c r="O1786" i="1" a="1"/>
  <c r="O1786" i="1" s="1"/>
  <c r="N1786" i="1"/>
  <c r="M1786" i="1"/>
  <c r="O1785" i="1" a="1"/>
  <c r="O1785" i="1" s="1"/>
  <c r="N1785" i="1"/>
  <c r="M1785" i="1"/>
  <c r="O1784" i="1" a="1"/>
  <c r="O1784" i="1" s="1"/>
  <c r="N1784" i="1"/>
  <c r="M1784" i="1"/>
  <c r="O1783" i="1" a="1"/>
  <c r="O1783" i="1" s="1"/>
  <c r="N1783" i="1"/>
  <c r="M1783" i="1"/>
  <c r="O1782" i="1" a="1"/>
  <c r="O1782" i="1" s="1"/>
  <c r="N1782" i="1"/>
  <c r="M1782" i="1"/>
  <c r="O1781" i="1" a="1"/>
  <c r="O1781" i="1" s="1"/>
  <c r="N1781" i="1"/>
  <c r="M1781" i="1"/>
  <c r="O1780" i="1" a="1"/>
  <c r="O1780" i="1" s="1"/>
  <c r="N1780" i="1"/>
  <c r="M1780" i="1"/>
  <c r="O1779" i="1" a="1"/>
  <c r="O1779" i="1" s="1"/>
  <c r="N1779" i="1"/>
  <c r="M1779" i="1"/>
  <c r="O1778" i="1" a="1"/>
  <c r="O1778" i="1" s="1"/>
  <c r="N1778" i="1"/>
  <c r="M1778" i="1"/>
  <c r="O1777" i="1" a="1"/>
  <c r="O1777" i="1" s="1"/>
  <c r="N1777" i="1"/>
  <c r="M1777" i="1"/>
  <c r="O1776" i="1" a="1"/>
  <c r="O1776" i="1" s="1"/>
  <c r="N1776" i="1"/>
  <c r="M1776" i="1"/>
  <c r="O1775" i="1" a="1"/>
  <c r="O1775" i="1" s="1"/>
  <c r="N1775" i="1"/>
  <c r="M1775" i="1"/>
  <c r="O1774" i="1" a="1"/>
  <c r="O1774" i="1" s="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a="1"/>
  <c r="O1768" i="1" s="1"/>
  <c r="N1768" i="1"/>
  <c r="M1768" i="1"/>
  <c r="O1767" i="1" a="1"/>
  <c r="O1767" i="1" s="1"/>
  <c r="N1767" i="1"/>
  <c r="M1767" i="1"/>
  <c r="O1766" i="1" a="1"/>
  <c r="O1766" i="1" s="1"/>
  <c r="N1766" i="1"/>
  <c r="M1766" i="1"/>
  <c r="O1765" i="1"/>
  <c r="O1765" i="1" a="1"/>
  <c r="N1765" i="1"/>
  <c r="M1765" i="1"/>
  <c r="O1764" i="1" a="1"/>
  <c r="O1764" i="1" s="1"/>
  <c r="N1764" i="1"/>
  <c r="M1764" i="1"/>
  <c r="O1763" i="1" a="1"/>
  <c r="O1763" i="1" s="1"/>
  <c r="N1763" i="1"/>
  <c r="M1763" i="1"/>
  <c r="O1762" i="1" a="1"/>
  <c r="O1762" i="1" s="1"/>
  <c r="N1762" i="1"/>
  <c r="M1762" i="1"/>
  <c r="O1761" i="1" a="1"/>
  <c r="O1761" i="1" s="1"/>
  <c r="N1761" i="1"/>
  <c r="M1761" i="1"/>
  <c r="O1760" i="1" a="1"/>
  <c r="O1760" i="1" s="1"/>
  <c r="N1760" i="1"/>
  <c r="M1760" i="1"/>
  <c r="O1759" i="1" a="1"/>
  <c r="O1759" i="1" s="1"/>
  <c r="N1759" i="1"/>
  <c r="M1759" i="1"/>
  <c r="O1758" i="1" a="1"/>
  <c r="O1758" i="1" s="1"/>
  <c r="N1758" i="1"/>
  <c r="M1758" i="1"/>
  <c r="O1757" i="1" a="1"/>
  <c r="O1757" i="1" s="1"/>
  <c r="N1757" i="1"/>
  <c r="M1757" i="1"/>
  <c r="O1756" i="1" a="1"/>
  <c r="O1756" i="1" s="1"/>
  <c r="N1756" i="1"/>
  <c r="M1756" i="1"/>
  <c r="O1755" i="1" a="1"/>
  <c r="O1755" i="1" s="1"/>
  <c r="N1755" i="1"/>
  <c r="M1755" i="1"/>
  <c r="O1754" i="1" a="1"/>
  <c r="O1754" i="1" s="1"/>
  <c r="N1754" i="1"/>
  <c r="M1754" i="1"/>
  <c r="O1753" i="1" a="1"/>
  <c r="O1753" i="1" s="1"/>
  <c r="N1753" i="1"/>
  <c r="M1753" i="1"/>
  <c r="O1752" i="1" a="1"/>
  <c r="O1752" i="1" s="1"/>
  <c r="N1752" i="1"/>
  <c r="M1752" i="1"/>
  <c r="O1751" i="1" a="1"/>
  <c r="O1751" i="1" s="1"/>
  <c r="N1751" i="1"/>
  <c r="M1751" i="1"/>
  <c r="O1750" i="1"/>
  <c r="O1750" i="1" a="1"/>
  <c r="N1750" i="1"/>
  <c r="M1750" i="1"/>
  <c r="O1749" i="1" a="1"/>
  <c r="O1749" i="1" s="1"/>
  <c r="N1749" i="1"/>
  <c r="M1749" i="1"/>
  <c r="O1748" i="1" a="1"/>
  <c r="O1748" i="1" s="1"/>
  <c r="N1748" i="1"/>
  <c r="M1748" i="1"/>
  <c r="O1747" i="1" a="1"/>
  <c r="O1747" i="1" s="1"/>
  <c r="N1747" i="1"/>
  <c r="M1747" i="1"/>
  <c r="O1746" i="1" a="1"/>
  <c r="O1746" i="1" s="1"/>
  <c r="N1746" i="1"/>
  <c r="M1746" i="1"/>
  <c r="O1745" i="1" a="1"/>
  <c r="O1745" i="1" s="1"/>
  <c r="N1745" i="1"/>
  <c r="M1745" i="1"/>
  <c r="O1744" i="1" a="1"/>
  <c r="O1744" i="1" s="1"/>
  <c r="N1744" i="1"/>
  <c r="M1744" i="1"/>
  <c r="O1743" i="1" a="1"/>
  <c r="O1743" i="1" s="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a="1"/>
  <c r="O1736" i="1" s="1"/>
  <c r="N1736" i="1"/>
  <c r="M1736" i="1"/>
  <c r="O1735" i="1" a="1"/>
  <c r="O1735" i="1" s="1"/>
  <c r="N1735" i="1"/>
  <c r="M1735" i="1"/>
  <c r="O1734" i="1" a="1"/>
  <c r="O1734" i="1" s="1"/>
  <c r="N1734" i="1"/>
  <c r="M1734" i="1"/>
  <c r="O1733" i="1" a="1"/>
  <c r="O1733" i="1" s="1"/>
  <c r="N1733" i="1"/>
  <c r="M1733" i="1"/>
  <c r="O1732" i="1" a="1"/>
  <c r="O1732" i="1" s="1"/>
  <c r="N1732" i="1"/>
  <c r="M1732" i="1"/>
  <c r="O1731" i="1" a="1"/>
  <c r="O1731" i="1" s="1"/>
  <c r="N1731" i="1"/>
  <c r="M1731" i="1"/>
  <c r="O1730" i="1" a="1"/>
  <c r="O1730" i="1" s="1"/>
  <c r="N1730" i="1"/>
  <c r="M1730" i="1"/>
  <c r="O1729" i="1"/>
  <c r="O1729" i="1" a="1"/>
  <c r="N1729" i="1"/>
  <c r="M1729" i="1"/>
  <c r="O1728" i="1" a="1"/>
  <c r="O1728" i="1" s="1"/>
  <c r="N1728" i="1"/>
  <c r="M1728" i="1"/>
  <c r="O1727" i="1" a="1"/>
  <c r="O1727" i="1" s="1"/>
  <c r="N1727" i="1"/>
  <c r="M1727" i="1"/>
  <c r="O1726" i="1" a="1"/>
  <c r="O1726" i="1" s="1"/>
  <c r="N1726" i="1"/>
  <c r="M1726" i="1"/>
  <c r="O1725" i="1" a="1"/>
  <c r="O1725" i="1" s="1"/>
  <c r="N1725" i="1"/>
  <c r="M1725" i="1"/>
  <c r="O1724" i="1" a="1"/>
  <c r="O1724" i="1" s="1"/>
  <c r="N1724" i="1"/>
  <c r="M1724" i="1"/>
  <c r="O1723" i="1" a="1"/>
  <c r="O1723" i="1" s="1"/>
  <c r="N1723" i="1"/>
  <c r="M1723" i="1"/>
  <c r="O1722" i="1" a="1"/>
  <c r="O1722" i="1" s="1"/>
  <c r="N1722" i="1"/>
  <c r="M1722" i="1"/>
  <c r="O1721" i="1" a="1"/>
  <c r="O1721" i="1" s="1"/>
  <c r="N1721" i="1"/>
  <c r="M1721" i="1"/>
  <c r="O1720" i="1" a="1"/>
  <c r="O1720" i="1" s="1"/>
  <c r="N1720" i="1"/>
  <c r="M1720" i="1"/>
  <c r="O1719" i="1" a="1"/>
  <c r="O1719" i="1" s="1"/>
  <c r="N1719" i="1"/>
  <c r="M1719" i="1"/>
  <c r="O1718" i="1" a="1"/>
  <c r="O1718" i="1" s="1"/>
  <c r="N1718" i="1"/>
  <c r="M1718" i="1"/>
  <c r="O1717" i="1" a="1"/>
  <c r="O1717" i="1" s="1"/>
  <c r="N1717" i="1"/>
  <c r="M1717" i="1"/>
  <c r="O1716" i="1" a="1"/>
  <c r="O1716" i="1" s="1"/>
  <c r="N1716" i="1"/>
  <c r="M1716" i="1"/>
  <c r="O1715" i="1" a="1"/>
  <c r="O1715" i="1" s="1"/>
  <c r="N1715" i="1"/>
  <c r="M1715" i="1"/>
  <c r="O1714" i="1" a="1"/>
  <c r="O1714" i="1" s="1"/>
  <c r="N1714" i="1"/>
  <c r="M1714" i="1"/>
  <c r="O1713" i="1" a="1"/>
  <c r="O1713" i="1" s="1"/>
  <c r="N1713" i="1"/>
  <c r="M1713" i="1"/>
  <c r="O1712" i="1" a="1"/>
  <c r="O1712" i="1" s="1"/>
  <c r="N1712" i="1"/>
  <c r="M1712" i="1"/>
  <c r="O1711" i="1" a="1"/>
  <c r="O1711" i="1" s="1"/>
  <c r="N1711" i="1"/>
  <c r="M1711" i="1"/>
  <c r="O1710" i="1" a="1"/>
  <c r="O1710" i="1" s="1"/>
  <c r="N1710" i="1"/>
  <c r="M1710" i="1"/>
  <c r="O1709" i="1" a="1"/>
  <c r="O1709" i="1" s="1"/>
  <c r="N1709" i="1"/>
  <c r="M1709" i="1"/>
  <c r="O1708" i="1" a="1"/>
  <c r="O1708" i="1" s="1"/>
  <c r="N1708" i="1"/>
  <c r="M1708" i="1"/>
  <c r="O1707" i="1" a="1"/>
  <c r="O1707" i="1" s="1"/>
  <c r="N1707" i="1"/>
  <c r="M1707" i="1"/>
  <c r="O1706" i="1" a="1"/>
  <c r="O1706" i="1" s="1"/>
  <c r="N1706" i="1"/>
  <c r="M1706" i="1"/>
  <c r="O1705" i="1" a="1"/>
  <c r="O1705" i="1" s="1"/>
  <c r="N1705" i="1"/>
  <c r="M1705" i="1"/>
  <c r="O1704" i="1" a="1"/>
  <c r="O1704" i="1" s="1"/>
  <c r="N1704" i="1"/>
  <c r="M1704" i="1"/>
  <c r="O1703" i="1" a="1"/>
  <c r="O1703" i="1" s="1"/>
  <c r="N1703" i="1"/>
  <c r="M1703" i="1"/>
  <c r="O1702" i="1" a="1"/>
  <c r="O1702" i="1" s="1"/>
  <c r="N1702" i="1"/>
  <c r="M1702" i="1"/>
  <c r="O1701" i="1" a="1"/>
  <c r="O1701" i="1" s="1"/>
  <c r="N1701" i="1"/>
  <c r="M1701" i="1"/>
  <c r="O1700" i="1" a="1"/>
  <c r="O1700" i="1" s="1"/>
  <c r="N1700" i="1"/>
  <c r="M1700" i="1"/>
  <c r="O1699" i="1" a="1"/>
  <c r="O1699" i="1" s="1"/>
  <c r="N1699" i="1"/>
  <c r="M1699" i="1"/>
  <c r="O1698" i="1" a="1"/>
  <c r="O1698" i="1" s="1"/>
  <c r="N1698" i="1"/>
  <c r="M1698" i="1"/>
  <c r="O1697" i="1" a="1"/>
  <c r="O1697" i="1" s="1"/>
  <c r="N1697" i="1"/>
  <c r="M1697" i="1"/>
  <c r="O1696" i="1" a="1"/>
  <c r="O1696" i="1" s="1"/>
  <c r="N1696" i="1"/>
  <c r="M1696" i="1"/>
  <c r="O1695" i="1" a="1"/>
  <c r="O1695" i="1" s="1"/>
  <c r="N1695" i="1"/>
  <c r="M1695" i="1"/>
  <c r="O1694" i="1" a="1"/>
  <c r="O1694" i="1" s="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a="1"/>
  <c r="O1685" i="1" s="1"/>
  <c r="N1685" i="1"/>
  <c r="M1685" i="1"/>
  <c r="O1684" i="1" a="1"/>
  <c r="O1684" i="1" s="1"/>
  <c r="N1684" i="1"/>
  <c r="M1684" i="1"/>
  <c r="O1683" i="1" a="1"/>
  <c r="O1683" i="1" s="1"/>
  <c r="N1683" i="1"/>
  <c r="M1683" i="1"/>
  <c r="O1682" i="1" a="1"/>
  <c r="O1682" i="1" s="1"/>
  <c r="N1682" i="1"/>
  <c r="M1682" i="1"/>
  <c r="O1681" i="1"/>
  <c r="O1681" i="1" a="1"/>
  <c r="N1681" i="1"/>
  <c r="M1681" i="1"/>
  <c r="O1680" i="1" a="1"/>
  <c r="O1680" i="1" s="1"/>
  <c r="N1680" i="1"/>
  <c r="M1680" i="1"/>
  <c r="O1679" i="1" a="1"/>
  <c r="O1679" i="1" s="1"/>
  <c r="N1679" i="1"/>
  <c r="M1679" i="1"/>
  <c r="O1678" i="1" a="1"/>
  <c r="O1678" i="1" s="1"/>
  <c r="N1678" i="1"/>
  <c r="M1678" i="1"/>
  <c r="O1677" i="1" a="1"/>
  <c r="O1677" i="1" s="1"/>
  <c r="N1677" i="1"/>
  <c r="M1677" i="1"/>
  <c r="O1676" i="1" a="1"/>
  <c r="O1676" i="1" s="1"/>
  <c r="N1676" i="1"/>
  <c r="M1676" i="1"/>
  <c r="O1675" i="1" a="1"/>
  <c r="O1675" i="1" s="1"/>
  <c r="N1675" i="1"/>
  <c r="M1675" i="1"/>
  <c r="O1674" i="1" a="1"/>
  <c r="O1674" i="1" s="1"/>
  <c r="N1674" i="1"/>
  <c r="M1674" i="1"/>
  <c r="O1673" i="1" a="1"/>
  <c r="O1673" i="1" s="1"/>
  <c r="N1673" i="1"/>
  <c r="M1673" i="1"/>
  <c r="O1672" i="1" a="1"/>
  <c r="O1672" i="1" s="1"/>
  <c r="N1672" i="1"/>
  <c r="M1672" i="1"/>
  <c r="O1671" i="1" a="1"/>
  <c r="O1671" i="1" s="1"/>
  <c r="N1671" i="1"/>
  <c r="M1671" i="1"/>
  <c r="O1670" i="1" a="1"/>
  <c r="O1670" i="1" s="1"/>
  <c r="N1670" i="1"/>
  <c r="M1670" i="1"/>
  <c r="O1669" i="1" a="1"/>
  <c r="O1669" i="1" s="1"/>
  <c r="N1669" i="1"/>
  <c r="M1669" i="1"/>
  <c r="O1668" i="1" a="1"/>
  <c r="O1668" i="1" s="1"/>
  <c r="N1668" i="1"/>
  <c r="M1668" i="1"/>
  <c r="O1667" i="1"/>
  <c r="O1667" i="1" a="1"/>
  <c r="N1667" i="1"/>
  <c r="M1667" i="1"/>
  <c r="O1666" i="1" a="1"/>
  <c r="O1666" i="1" s="1"/>
  <c r="N1666" i="1"/>
  <c r="M1666" i="1"/>
  <c r="O1665" i="1" a="1"/>
  <c r="O1665" i="1" s="1"/>
  <c r="N1665" i="1"/>
  <c r="M1665" i="1"/>
  <c r="O1664" i="1" a="1"/>
  <c r="O1664" i="1" s="1"/>
  <c r="N1664" i="1"/>
  <c r="M1664" i="1"/>
  <c r="O1663" i="1" a="1"/>
  <c r="O1663" i="1" s="1"/>
  <c r="N1663" i="1"/>
  <c r="M1663" i="1"/>
  <c r="O1662" i="1" a="1"/>
  <c r="O1662" i="1" s="1"/>
  <c r="N1662" i="1"/>
  <c r="M1662" i="1"/>
  <c r="O1661" i="1" a="1"/>
  <c r="O1661" i="1" s="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a="1"/>
  <c r="O1655" i="1" s="1"/>
  <c r="N1655" i="1"/>
  <c r="M1655" i="1"/>
  <c r="O1654" i="1" a="1"/>
  <c r="O1654" i="1" s="1"/>
  <c r="N1654" i="1"/>
  <c r="M1654" i="1"/>
  <c r="O1653" i="1" a="1"/>
  <c r="O1653" i="1" s="1"/>
  <c r="N1653" i="1"/>
  <c r="M1653" i="1"/>
  <c r="O1652" i="1" a="1"/>
  <c r="O1652" i="1" s="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a="1"/>
  <c r="O1645" i="1" s="1"/>
  <c r="N1645" i="1"/>
  <c r="M1645" i="1"/>
  <c r="O1644" i="1" a="1"/>
  <c r="O1644" i="1" s="1"/>
  <c r="N1644" i="1"/>
  <c r="M1644" i="1"/>
  <c r="O1643" i="1" a="1"/>
  <c r="O1643" i="1" s="1"/>
  <c r="N1643" i="1"/>
  <c r="M1643" i="1"/>
  <c r="O1642" i="1" a="1"/>
  <c r="O1642" i="1" s="1"/>
  <c r="N1642" i="1"/>
  <c r="M1642" i="1"/>
  <c r="O1641" i="1" a="1"/>
  <c r="O1641" i="1" s="1"/>
  <c r="N1641" i="1"/>
  <c r="M1641" i="1"/>
  <c r="O1640" i="1" a="1"/>
  <c r="O1640" i="1" s="1"/>
  <c r="N1640" i="1"/>
  <c r="M1640" i="1"/>
  <c r="O1639" i="1" a="1"/>
  <c r="O1639" i="1" s="1"/>
  <c r="N1639" i="1"/>
  <c r="M1639" i="1"/>
  <c r="O1638" i="1"/>
  <c r="O1638" i="1" a="1"/>
  <c r="N1638" i="1"/>
  <c r="M1638" i="1"/>
  <c r="O1637" i="1" a="1"/>
  <c r="O1637" i="1" s="1"/>
  <c r="N1637" i="1"/>
  <c r="M1637" i="1"/>
  <c r="O1636" i="1" a="1"/>
  <c r="O1636" i="1" s="1"/>
  <c r="N1636" i="1"/>
  <c r="M1636" i="1"/>
  <c r="O1635" i="1" a="1"/>
  <c r="O1635" i="1" s="1"/>
  <c r="N1635" i="1"/>
  <c r="M1635" i="1"/>
  <c r="O1634" i="1" a="1"/>
  <c r="O1634" i="1" s="1"/>
  <c r="N1634" i="1"/>
  <c r="M1634" i="1"/>
  <c r="O1633" i="1" a="1"/>
  <c r="O1633" i="1" s="1"/>
  <c r="N1633" i="1"/>
  <c r="M1633" i="1"/>
  <c r="O1632" i="1" a="1"/>
  <c r="O1632" i="1" s="1"/>
  <c r="N1632" i="1"/>
  <c r="M1632" i="1"/>
  <c r="O1631" i="1" a="1"/>
  <c r="O1631" i="1" s="1"/>
  <c r="N1631" i="1"/>
  <c r="M1631" i="1"/>
  <c r="O1630" i="1" a="1"/>
  <c r="O1630" i="1" s="1"/>
  <c r="N1630" i="1"/>
  <c r="M1630" i="1"/>
  <c r="O1629" i="1" a="1"/>
  <c r="O1629" i="1" s="1"/>
  <c r="N1629" i="1"/>
  <c r="M1629" i="1"/>
  <c r="O1628" i="1" a="1"/>
  <c r="O1628" i="1" s="1"/>
  <c r="N1628" i="1"/>
  <c r="M1628" i="1"/>
  <c r="O1627" i="1" a="1"/>
  <c r="O1627" i="1" s="1"/>
  <c r="N1627" i="1"/>
  <c r="M1627" i="1"/>
  <c r="O1626" i="1" a="1"/>
  <c r="O1626" i="1" s="1"/>
  <c r="N1626" i="1"/>
  <c r="M1626" i="1"/>
  <c r="O1625" i="1" a="1"/>
  <c r="O1625" i="1" s="1"/>
  <c r="N1625" i="1"/>
  <c r="M1625" i="1"/>
  <c r="O1624" i="1" a="1"/>
  <c r="O1624" i="1" s="1"/>
  <c r="N1624" i="1"/>
  <c r="M1624" i="1"/>
  <c r="O1623" i="1" a="1"/>
  <c r="O1623" i="1" s="1"/>
  <c r="N1623" i="1"/>
  <c r="M1623" i="1"/>
  <c r="O1622" i="1" a="1"/>
  <c r="O1622" i="1" s="1"/>
  <c r="N1622" i="1"/>
  <c r="M1622" i="1"/>
  <c r="O1621" i="1" a="1"/>
  <c r="O1621" i="1" s="1"/>
  <c r="N1621" i="1"/>
  <c r="M1621" i="1"/>
  <c r="O1620" i="1" a="1"/>
  <c r="O1620" i="1" s="1"/>
  <c r="N1620" i="1"/>
  <c r="M1620" i="1"/>
  <c r="O1619" i="1" a="1"/>
  <c r="O1619" i="1" s="1"/>
  <c r="N1619" i="1"/>
  <c r="M1619" i="1"/>
  <c r="O1618" i="1" a="1"/>
  <c r="O1618" i="1" s="1"/>
  <c r="N1618" i="1"/>
  <c r="M1618" i="1"/>
  <c r="O1617" i="1" a="1"/>
  <c r="O1617" i="1" s="1"/>
  <c r="N1617" i="1"/>
  <c r="M1617" i="1"/>
  <c r="O1616" i="1" a="1"/>
  <c r="O1616" i="1" s="1"/>
  <c r="N1616" i="1"/>
  <c r="M1616" i="1"/>
  <c r="O1615" i="1" a="1"/>
  <c r="O1615" i="1" s="1"/>
  <c r="N1615" i="1"/>
  <c r="M1615" i="1"/>
  <c r="O1614" i="1" a="1"/>
  <c r="O1614" i="1" s="1"/>
  <c r="N1614" i="1"/>
  <c r="M1614" i="1"/>
  <c r="O1613" i="1" a="1"/>
  <c r="O1613" i="1" s="1"/>
  <c r="N1613" i="1"/>
  <c r="M1613" i="1"/>
  <c r="O1612" i="1" a="1"/>
  <c r="O1612" i="1" s="1"/>
  <c r="N1612" i="1"/>
  <c r="M1612" i="1"/>
  <c r="O1611" i="1" a="1"/>
  <c r="O1611" i="1" s="1"/>
  <c r="N1611" i="1"/>
  <c r="M1611" i="1"/>
  <c r="O1610" i="1"/>
  <c r="O1610" i="1" a="1"/>
  <c r="N1610" i="1"/>
  <c r="M1610" i="1"/>
  <c r="O1609" i="1" a="1"/>
  <c r="O1609" i="1" s="1"/>
  <c r="N1609" i="1"/>
  <c r="M1609" i="1"/>
  <c r="O1608" i="1" a="1"/>
  <c r="O1608" i="1" s="1"/>
  <c r="N1608" i="1"/>
  <c r="M1608" i="1"/>
  <c r="O1607" i="1" a="1"/>
  <c r="O1607" i="1" s="1"/>
  <c r="N1607" i="1"/>
  <c r="M1607" i="1"/>
  <c r="O1606" i="1" a="1"/>
  <c r="O1606" i="1" s="1"/>
  <c r="N1606" i="1"/>
  <c r="M1606" i="1"/>
  <c r="O1605" i="1" a="1"/>
  <c r="O1605" i="1" s="1"/>
  <c r="N1605" i="1"/>
  <c r="M1605" i="1"/>
  <c r="O1604" i="1" a="1"/>
  <c r="O1604" i="1" s="1"/>
  <c r="N1604" i="1"/>
  <c r="M1604" i="1"/>
  <c r="O1603" i="1" a="1"/>
  <c r="O1603" i="1" s="1"/>
  <c r="N1603" i="1"/>
  <c r="M1603" i="1"/>
  <c r="O1602" i="1" a="1"/>
  <c r="O1602" i="1" s="1"/>
  <c r="N1602" i="1"/>
  <c r="M1602" i="1"/>
  <c r="O1601" i="1" a="1"/>
  <c r="O1601" i="1" s="1"/>
  <c r="N1601" i="1"/>
  <c r="M1601" i="1"/>
  <c r="O1600" i="1" a="1"/>
  <c r="O1600" i="1" s="1"/>
  <c r="N1600" i="1"/>
  <c r="M1600" i="1"/>
  <c r="O1599" i="1" a="1"/>
  <c r="O1599" i="1" s="1"/>
  <c r="N1599" i="1"/>
  <c r="M1599" i="1"/>
  <c r="O1598" i="1"/>
  <c r="O1598" i="1" a="1"/>
  <c r="N1598" i="1"/>
  <c r="M1598" i="1"/>
  <c r="O1597" i="1" a="1"/>
  <c r="O1597" i="1" s="1"/>
  <c r="N1597" i="1"/>
  <c r="M1597" i="1"/>
  <c r="O1596" i="1" a="1"/>
  <c r="O1596" i="1" s="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a="1"/>
  <c r="O1589" i="1" s="1"/>
  <c r="N1589" i="1"/>
  <c r="M1589" i="1"/>
  <c r="O1588" i="1" a="1"/>
  <c r="O1588" i="1" s="1"/>
  <c r="N1588" i="1"/>
  <c r="M1588" i="1"/>
  <c r="O1587" i="1" a="1"/>
  <c r="O1587" i="1" s="1"/>
  <c r="N1587" i="1"/>
  <c r="M1587" i="1"/>
  <c r="O1586" i="1" a="1"/>
  <c r="O1586" i="1" s="1"/>
  <c r="N1586" i="1"/>
  <c r="M1586" i="1"/>
  <c r="O1585" i="1" a="1"/>
  <c r="O1585" i="1" s="1"/>
  <c r="N1585" i="1"/>
  <c r="M1585" i="1"/>
  <c r="O1584" i="1" a="1"/>
  <c r="O1584" i="1" s="1"/>
  <c r="N1584" i="1"/>
  <c r="M1584" i="1"/>
  <c r="O1583" i="1" a="1"/>
  <c r="O1583" i="1" s="1"/>
  <c r="N1583" i="1"/>
  <c r="M1583" i="1"/>
  <c r="O1582" i="1" a="1"/>
  <c r="O1582" i="1" s="1"/>
  <c r="N1582" i="1"/>
  <c r="M1582" i="1"/>
  <c r="O1581" i="1" a="1"/>
  <c r="O1581" i="1" s="1"/>
  <c r="N1581" i="1"/>
  <c r="M1581" i="1"/>
  <c r="O1580" i="1" a="1"/>
  <c r="O1580" i="1" s="1"/>
  <c r="N1580" i="1"/>
  <c r="M1580" i="1"/>
  <c r="O1579" i="1" a="1"/>
  <c r="O1579" i="1" s="1"/>
  <c r="N1579" i="1"/>
  <c r="M1579" i="1"/>
  <c r="O1578" i="1" a="1"/>
  <c r="O1578" i="1" s="1"/>
  <c r="N1578" i="1"/>
  <c r="M1578" i="1"/>
  <c r="O1577" i="1" a="1"/>
  <c r="O1577" i="1" s="1"/>
  <c r="N1577" i="1"/>
  <c r="M1577" i="1"/>
  <c r="O1576" i="1" a="1"/>
  <c r="O1576" i="1" s="1"/>
  <c r="N1576" i="1"/>
  <c r="M1576" i="1"/>
  <c r="O1575" i="1" a="1"/>
  <c r="O1575" i="1" s="1"/>
  <c r="N1575" i="1"/>
  <c r="M1575" i="1"/>
  <c r="O1574" i="1" a="1"/>
  <c r="O1574" i="1" s="1"/>
  <c r="N1574" i="1"/>
  <c r="M1574" i="1"/>
  <c r="O1573" i="1" a="1"/>
  <c r="O1573" i="1" s="1"/>
  <c r="N1573" i="1"/>
  <c r="M1573" i="1"/>
  <c r="O1572" i="1" a="1"/>
  <c r="O1572" i="1" s="1"/>
  <c r="N1572" i="1"/>
  <c r="M1572" i="1"/>
  <c r="O1571" i="1" a="1"/>
  <c r="O1571" i="1" s="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a="1"/>
  <c r="O1561" i="1" s="1"/>
  <c r="N1561" i="1"/>
  <c r="M1561" i="1"/>
  <c r="O1560" i="1" a="1"/>
  <c r="O1560" i="1" s="1"/>
  <c r="N1560" i="1"/>
  <c r="M1560" i="1"/>
  <c r="O1559" i="1" a="1"/>
  <c r="O1559" i="1" s="1"/>
  <c r="N1559" i="1"/>
  <c r="M1559" i="1"/>
  <c r="O1558" i="1"/>
  <c r="O1558" i="1" a="1"/>
  <c r="N1558" i="1"/>
  <c r="M1558" i="1"/>
  <c r="O1557" i="1" a="1"/>
  <c r="O1557" i="1" s="1"/>
  <c r="N1557" i="1"/>
  <c r="M1557" i="1"/>
  <c r="O1556" i="1" a="1"/>
  <c r="O1556" i="1" s="1"/>
  <c r="N1556" i="1"/>
  <c r="M1556" i="1"/>
  <c r="O1555" i="1" a="1"/>
  <c r="O1555" i="1" s="1"/>
  <c r="N1555" i="1"/>
  <c r="M1555" i="1"/>
  <c r="O1554" i="1" a="1"/>
  <c r="O1554" i="1" s="1"/>
  <c r="N1554" i="1"/>
  <c r="M1554" i="1"/>
  <c r="O1553" i="1" a="1"/>
  <c r="O1553" i="1" s="1"/>
  <c r="N1553" i="1"/>
  <c r="M1553" i="1"/>
  <c r="O1552" i="1" a="1"/>
  <c r="O1552" i="1" s="1"/>
  <c r="N1552" i="1"/>
  <c r="M1552" i="1"/>
  <c r="O1551" i="1" a="1"/>
  <c r="O1551" i="1" s="1"/>
  <c r="N1551" i="1"/>
  <c r="M1551" i="1"/>
  <c r="O1550" i="1" a="1"/>
  <c r="O1550" i="1" s="1"/>
  <c r="N1550" i="1"/>
  <c r="M1550" i="1"/>
  <c r="O1549" i="1"/>
  <c r="O1549" i="1" a="1"/>
  <c r="N1549" i="1"/>
  <c r="M1549" i="1"/>
  <c r="O1548" i="1" a="1"/>
  <c r="O1548" i="1" s="1"/>
  <c r="N1548" i="1"/>
  <c r="M1548" i="1"/>
  <c r="O1547" i="1" a="1"/>
  <c r="O1547" i="1" s="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a="1"/>
  <c r="O1540" i="1" s="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a="1"/>
  <c r="O1530" i="1" s="1"/>
  <c r="N1530" i="1"/>
  <c r="M1530" i="1"/>
  <c r="O1529" i="1" a="1"/>
  <c r="O1529" i="1" s="1"/>
  <c r="N1529" i="1"/>
  <c r="M1529" i="1"/>
  <c r="O1528" i="1" a="1"/>
  <c r="O1528" i="1" s="1"/>
  <c r="N1528" i="1"/>
  <c r="M1528" i="1"/>
  <c r="O1527" i="1" a="1"/>
  <c r="O1527" i="1" s="1"/>
  <c r="N1527" i="1"/>
  <c r="M1527" i="1"/>
  <c r="O1526" i="1" a="1"/>
  <c r="O1526" i="1" s="1"/>
  <c r="N1526" i="1"/>
  <c r="M1526" i="1"/>
  <c r="O1525" i="1" a="1"/>
  <c r="O1525" i="1" s="1"/>
  <c r="N1525" i="1"/>
  <c r="M1525" i="1"/>
  <c r="O1524" i="1" a="1"/>
  <c r="O1524" i="1" s="1"/>
  <c r="N1524" i="1"/>
  <c r="M1524" i="1"/>
  <c r="O1523" i="1" a="1"/>
  <c r="O1523" i="1" s="1"/>
  <c r="N1523" i="1"/>
  <c r="M1523" i="1"/>
  <c r="O1522" i="1" a="1"/>
  <c r="O1522" i="1" s="1"/>
  <c r="N1522" i="1"/>
  <c r="M1522" i="1"/>
  <c r="O1521" i="1" a="1"/>
  <c r="O1521" i="1" s="1"/>
  <c r="N1521" i="1"/>
  <c r="M1521" i="1"/>
  <c r="O1520" i="1" a="1"/>
  <c r="O1520" i="1" s="1"/>
  <c r="N1520" i="1"/>
  <c r="M1520" i="1"/>
  <c r="O1519" i="1" a="1"/>
  <c r="O1519" i="1" s="1"/>
  <c r="N1519" i="1"/>
  <c r="M1519" i="1"/>
  <c r="O1518" i="1" a="1"/>
  <c r="O1518" i="1" s="1"/>
  <c r="N1518" i="1"/>
  <c r="M1518" i="1"/>
  <c r="O1517" i="1" a="1"/>
  <c r="O1517" i="1" s="1"/>
  <c r="N1517" i="1"/>
  <c r="M1517" i="1"/>
  <c r="O1516" i="1" a="1"/>
  <c r="O1516" i="1" s="1"/>
  <c r="N1516" i="1"/>
  <c r="M1516" i="1"/>
  <c r="O1515" i="1" a="1"/>
  <c r="O1515" i="1" s="1"/>
  <c r="N1515" i="1"/>
  <c r="M1515" i="1"/>
  <c r="O1514" i="1" a="1"/>
  <c r="O1514" i="1" s="1"/>
  <c r="N1514" i="1"/>
  <c r="M1514" i="1"/>
  <c r="O1513" i="1"/>
  <c r="O1513" i="1" a="1"/>
  <c r="N1513" i="1"/>
  <c r="M1513" i="1"/>
  <c r="O1512" i="1" a="1"/>
  <c r="O1512" i="1" s="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a="1"/>
  <c r="O1505" i="1" s="1"/>
  <c r="N1505" i="1"/>
  <c r="M1505" i="1"/>
  <c r="O1504" i="1" a="1"/>
  <c r="O1504" i="1" s="1"/>
  <c r="N1504" i="1"/>
  <c r="M1504" i="1"/>
  <c r="O1503" i="1" a="1"/>
  <c r="O1503" i="1" s="1"/>
  <c r="N1503" i="1"/>
  <c r="M1503" i="1"/>
  <c r="O1502" i="1" a="1"/>
  <c r="O1502" i="1" s="1"/>
  <c r="N1502" i="1"/>
  <c r="M1502" i="1"/>
  <c r="O1501" i="1" a="1"/>
  <c r="O1501" i="1" s="1"/>
  <c r="N1501" i="1"/>
  <c r="M1501" i="1"/>
  <c r="O1500" i="1" a="1"/>
  <c r="O1500" i="1" s="1"/>
  <c r="N1500" i="1"/>
  <c r="M1500" i="1"/>
  <c r="O1499" i="1" a="1"/>
  <c r="O1499" i="1" s="1"/>
  <c r="N1499" i="1"/>
  <c r="M1499" i="1"/>
  <c r="O1498" i="1" a="1"/>
  <c r="O1498" i="1" s="1"/>
  <c r="N1498" i="1"/>
  <c r="M1498" i="1"/>
  <c r="O1497" i="1" a="1"/>
  <c r="O1497" i="1" s="1"/>
  <c r="N1497" i="1"/>
  <c r="M1497" i="1"/>
  <c r="O1496" i="1" a="1"/>
  <c r="O1496" i="1" s="1"/>
  <c r="N1496" i="1"/>
  <c r="M1496" i="1"/>
  <c r="O1495" i="1" a="1"/>
  <c r="O1495" i="1" s="1"/>
  <c r="N1495" i="1"/>
  <c r="M1495" i="1"/>
  <c r="O1494" i="1" a="1"/>
  <c r="O1494" i="1" s="1"/>
  <c r="N1494" i="1"/>
  <c r="M1494" i="1"/>
  <c r="O1493" i="1" a="1"/>
  <c r="O1493" i="1" s="1"/>
  <c r="N1493" i="1"/>
  <c r="M1493" i="1"/>
  <c r="O1492" i="1" a="1"/>
  <c r="O1492" i="1" s="1"/>
  <c r="N1492" i="1"/>
  <c r="M1492" i="1"/>
  <c r="O1491" i="1" a="1"/>
  <c r="O1491" i="1" s="1"/>
  <c r="N1491" i="1"/>
  <c r="M1491" i="1"/>
  <c r="O1490" i="1" a="1"/>
  <c r="O1490" i="1" s="1"/>
  <c r="N1490" i="1"/>
  <c r="M1490" i="1"/>
  <c r="O1489" i="1" a="1"/>
  <c r="O1489" i="1" s="1"/>
  <c r="N1489" i="1"/>
  <c r="M1489" i="1"/>
  <c r="O1488" i="1" a="1"/>
  <c r="O1488" i="1" s="1"/>
  <c r="N1488" i="1"/>
  <c r="M1488" i="1"/>
  <c r="O1487" i="1" a="1"/>
  <c r="O1487" i="1" s="1"/>
  <c r="N1487" i="1"/>
  <c r="M1487" i="1"/>
  <c r="O1486" i="1" a="1"/>
  <c r="O1486" i="1" s="1"/>
  <c r="N1486" i="1"/>
  <c r="M1486" i="1"/>
  <c r="O1485" i="1"/>
  <c r="O1485" i="1" a="1"/>
  <c r="N1485" i="1"/>
  <c r="M1485" i="1"/>
  <c r="O1484" i="1" a="1"/>
  <c r="O1484" i="1" s="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a="1"/>
  <c r="O1477" i="1" s="1"/>
  <c r="N1477" i="1"/>
  <c r="M1477" i="1"/>
  <c r="O1476" i="1" a="1"/>
  <c r="O1476" i="1" s="1"/>
  <c r="N1476" i="1"/>
  <c r="M1476" i="1"/>
  <c r="O1475" i="1" a="1"/>
  <c r="O1475" i="1" s="1"/>
  <c r="N1475" i="1"/>
  <c r="M1475" i="1"/>
  <c r="O1474" i="1" a="1"/>
  <c r="O1474" i="1" s="1"/>
  <c r="N1474" i="1"/>
  <c r="M1474" i="1"/>
  <c r="O1473" i="1" a="1"/>
  <c r="O1473" i="1" s="1"/>
  <c r="N1473" i="1"/>
  <c r="M1473" i="1"/>
  <c r="O1472" i="1" a="1"/>
  <c r="O1472" i="1" s="1"/>
  <c r="N1472" i="1"/>
  <c r="M1472" i="1"/>
  <c r="O1471" i="1" a="1"/>
  <c r="O1471" i="1" s="1"/>
  <c r="N1471" i="1"/>
  <c r="M1471" i="1"/>
  <c r="O1470" i="1" a="1"/>
  <c r="O1470" i="1" s="1"/>
  <c r="N1470" i="1"/>
  <c r="M1470" i="1"/>
  <c r="O1469" i="1" a="1"/>
  <c r="O1469" i="1" s="1"/>
  <c r="N1469" i="1"/>
  <c r="M1469" i="1"/>
  <c r="O1468" i="1" a="1"/>
  <c r="O1468" i="1" s="1"/>
  <c r="N1468" i="1"/>
  <c r="M1468" i="1"/>
  <c r="O1467" i="1" a="1"/>
  <c r="O1467" i="1" s="1"/>
  <c r="N1467" i="1"/>
  <c r="M1467" i="1"/>
  <c r="O1466" i="1" a="1"/>
  <c r="O1466" i="1" s="1"/>
  <c r="N1466" i="1"/>
  <c r="M1466" i="1"/>
  <c r="O1465" i="1" a="1"/>
  <c r="O1465" i="1" s="1"/>
  <c r="N1465" i="1"/>
  <c r="M1465" i="1"/>
  <c r="O1464" i="1" a="1"/>
  <c r="O1464" i="1" s="1"/>
  <c r="N1464" i="1"/>
  <c r="M1464" i="1"/>
  <c r="O1463" i="1" a="1"/>
  <c r="O1463" i="1" s="1"/>
  <c r="N1463" i="1"/>
  <c r="M1463" i="1"/>
  <c r="O1462" i="1" a="1"/>
  <c r="O1462" i="1" s="1"/>
  <c r="N1462" i="1"/>
  <c r="M1462" i="1"/>
  <c r="O1461" i="1" a="1"/>
  <c r="O1461" i="1" s="1"/>
  <c r="N1461" i="1"/>
  <c r="M1461" i="1"/>
  <c r="O1460" i="1" a="1"/>
  <c r="O1460" i="1" s="1"/>
  <c r="N1460" i="1"/>
  <c r="M1460" i="1"/>
  <c r="O1459" i="1" a="1"/>
  <c r="O1459" i="1" s="1"/>
  <c r="N1459" i="1"/>
  <c r="M1459" i="1"/>
  <c r="O1458" i="1" a="1"/>
  <c r="O1458" i="1" s="1"/>
  <c r="N1458" i="1"/>
  <c r="M1458" i="1"/>
  <c r="O1457" i="1" a="1"/>
  <c r="O1457" i="1" s="1"/>
  <c r="N1457" i="1"/>
  <c r="M1457" i="1"/>
  <c r="O1456" i="1" a="1"/>
  <c r="O1456" i="1" s="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a="1"/>
  <c r="O1449" i="1" s="1"/>
  <c r="N1449" i="1"/>
  <c r="M1449" i="1"/>
  <c r="O1448" i="1" a="1"/>
  <c r="O1448" i="1" s="1"/>
  <c r="N1448" i="1"/>
  <c r="M1448" i="1"/>
  <c r="O1447" i="1" a="1"/>
  <c r="O1447" i="1" s="1"/>
  <c r="N1447" i="1"/>
  <c r="M1447" i="1"/>
  <c r="O1446" i="1" a="1"/>
  <c r="O1446" i="1" s="1"/>
  <c r="N1446" i="1"/>
  <c r="M1446" i="1"/>
  <c r="O1445" i="1" a="1"/>
  <c r="O1445" i="1" s="1"/>
  <c r="N1445" i="1"/>
  <c r="M1445" i="1"/>
  <c r="O1444" i="1" a="1"/>
  <c r="O1444" i="1" s="1"/>
  <c r="N1444" i="1"/>
  <c r="M1444" i="1"/>
  <c r="O1443" i="1" a="1"/>
  <c r="O1443" i="1" s="1"/>
  <c r="N1443" i="1"/>
  <c r="M1443" i="1"/>
  <c r="O1442" i="1" a="1"/>
  <c r="O1442" i="1" s="1"/>
  <c r="N1442" i="1"/>
  <c r="M1442" i="1"/>
  <c r="O1441" i="1" a="1"/>
  <c r="O1441" i="1" s="1"/>
  <c r="N1441" i="1"/>
  <c r="M1441" i="1"/>
  <c r="O1440" i="1" a="1"/>
  <c r="O1440" i="1" s="1"/>
  <c r="N1440" i="1"/>
  <c r="M1440" i="1"/>
  <c r="O1439" i="1" a="1"/>
  <c r="O1439" i="1" s="1"/>
  <c r="N1439" i="1"/>
  <c r="M1439" i="1"/>
  <c r="O1438" i="1" a="1"/>
  <c r="O1438" i="1" s="1"/>
  <c r="N1438" i="1"/>
  <c r="M1438" i="1"/>
  <c r="O1437" i="1" a="1"/>
  <c r="O1437" i="1" s="1"/>
  <c r="N1437" i="1"/>
  <c r="M1437" i="1"/>
  <c r="O1436" i="1" a="1"/>
  <c r="O1436" i="1" s="1"/>
  <c r="N1436" i="1"/>
  <c r="M1436" i="1"/>
  <c r="O1435" i="1" a="1"/>
  <c r="O1435" i="1" s="1"/>
  <c r="N1435" i="1"/>
  <c r="M1435" i="1"/>
  <c r="O1434" i="1" a="1"/>
  <c r="O1434" i="1" s="1"/>
  <c r="N1434" i="1"/>
  <c r="M1434" i="1"/>
  <c r="O1433" i="1" a="1"/>
  <c r="O1433" i="1" s="1"/>
  <c r="N1433" i="1"/>
  <c r="M1433" i="1"/>
  <c r="O1432" i="1" a="1"/>
  <c r="O1432" i="1" s="1"/>
  <c r="N1432" i="1"/>
  <c r="M1432" i="1"/>
  <c r="O1431" i="1" a="1"/>
  <c r="O1431" i="1" s="1"/>
  <c r="N1431" i="1"/>
  <c r="M1431" i="1"/>
  <c r="O1430" i="1" a="1"/>
  <c r="O1430" i="1" s="1"/>
  <c r="N1430" i="1"/>
  <c r="M1430" i="1"/>
  <c r="O1429" i="1" a="1"/>
  <c r="O1429" i="1" s="1"/>
  <c r="N1429" i="1"/>
  <c r="M1429" i="1"/>
  <c r="O1428" i="1" a="1"/>
  <c r="O1428" i="1" s="1"/>
  <c r="N1428" i="1"/>
  <c r="M1428" i="1"/>
  <c r="O1427" i="1" a="1"/>
  <c r="O1427" i="1" s="1"/>
  <c r="N1427" i="1"/>
  <c r="M1427" i="1"/>
  <c r="O1426" i="1" a="1"/>
  <c r="O1426" i="1" s="1"/>
  <c r="N1426" i="1"/>
  <c r="M1426" i="1"/>
  <c r="O1425" i="1" a="1"/>
  <c r="O1425" i="1" s="1"/>
  <c r="N1425" i="1"/>
  <c r="M1425" i="1"/>
  <c r="O1424" i="1" a="1"/>
  <c r="O1424" i="1" s="1"/>
  <c r="N1424" i="1"/>
  <c r="M1424" i="1"/>
  <c r="O1423" i="1" a="1"/>
  <c r="O1423" i="1" s="1"/>
  <c r="N1423" i="1"/>
  <c r="M1423" i="1"/>
  <c r="O1422" i="1" a="1"/>
  <c r="O1422" i="1" s="1"/>
  <c r="N1422" i="1"/>
  <c r="M1422" i="1"/>
  <c r="O1421" i="1" a="1"/>
  <c r="O1421" i="1" s="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a="1"/>
  <c r="O1414" i="1" s="1"/>
  <c r="N1414" i="1"/>
  <c r="M1414" i="1"/>
  <c r="O1413" i="1" a="1"/>
  <c r="O1413" i="1" s="1"/>
  <c r="N1413" i="1"/>
  <c r="M1413" i="1"/>
  <c r="O1412" i="1" a="1"/>
  <c r="O1412" i="1" s="1"/>
  <c r="N1412" i="1"/>
  <c r="M1412" i="1"/>
  <c r="O1411" i="1" a="1"/>
  <c r="O1411" i="1" s="1"/>
  <c r="N1411" i="1"/>
  <c r="M1411" i="1"/>
  <c r="O1410" i="1" a="1"/>
  <c r="O1410" i="1" s="1"/>
  <c r="N1410" i="1"/>
  <c r="M1410" i="1"/>
  <c r="O1409" i="1" a="1"/>
  <c r="O1409" i="1" s="1"/>
  <c r="N1409" i="1"/>
  <c r="M1409" i="1"/>
  <c r="O1408" i="1" a="1"/>
  <c r="O1408" i="1" s="1"/>
  <c r="N1408" i="1"/>
  <c r="M1408" i="1"/>
  <c r="O1407" i="1" a="1"/>
  <c r="O1407" i="1" s="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a="1"/>
  <c r="O1401" i="1" s="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a="1"/>
  <c r="O1394" i="1" s="1"/>
  <c r="N1394" i="1"/>
  <c r="M1394" i="1"/>
  <c r="O1393" i="1" a="1"/>
  <c r="O1393" i="1" s="1"/>
  <c r="N1393" i="1"/>
  <c r="M1393" i="1"/>
  <c r="O1392" i="1" a="1"/>
  <c r="O1392" i="1" s="1"/>
  <c r="N1392" i="1"/>
  <c r="M1392" i="1"/>
  <c r="O1391" i="1" a="1"/>
  <c r="O1391" i="1" s="1"/>
  <c r="N1391" i="1"/>
  <c r="M1391" i="1"/>
  <c r="O1390" i="1" a="1"/>
  <c r="O1390" i="1" s="1"/>
  <c r="N1390" i="1"/>
  <c r="M1390" i="1"/>
  <c r="O1389" i="1" a="1"/>
  <c r="O1389" i="1" s="1"/>
  <c r="N1389" i="1"/>
  <c r="M1389" i="1"/>
  <c r="O1388" i="1" a="1"/>
  <c r="O1388" i="1" s="1"/>
  <c r="N1388" i="1"/>
  <c r="M1388" i="1"/>
  <c r="O1387" i="1" a="1"/>
  <c r="O1387" i="1" s="1"/>
  <c r="N1387" i="1"/>
  <c r="M1387" i="1"/>
  <c r="O1386" i="1" a="1"/>
  <c r="O1386" i="1" s="1"/>
  <c r="N1386" i="1"/>
  <c r="M1386" i="1"/>
  <c r="O1385" i="1" a="1"/>
  <c r="O1385" i="1" s="1"/>
  <c r="N1385" i="1"/>
  <c r="M1385" i="1"/>
  <c r="O1384" i="1" a="1"/>
  <c r="O1384" i="1" s="1"/>
  <c r="N1384" i="1"/>
  <c r="M1384" i="1"/>
  <c r="O1383" i="1" a="1"/>
  <c r="O1383" i="1" s="1"/>
  <c r="N1383" i="1"/>
  <c r="M1383" i="1"/>
  <c r="O1382" i="1" a="1"/>
  <c r="O1382" i="1" s="1"/>
  <c r="N1382" i="1"/>
  <c r="M1382" i="1"/>
  <c r="O1381" i="1" a="1"/>
  <c r="O1381" i="1" s="1"/>
  <c r="N1381" i="1"/>
  <c r="M1381" i="1"/>
  <c r="O1380" i="1" a="1"/>
  <c r="O1380" i="1" s="1"/>
  <c r="N1380" i="1"/>
  <c r="M1380" i="1"/>
  <c r="O1379" i="1" a="1"/>
  <c r="O1379" i="1" s="1"/>
  <c r="N1379" i="1"/>
  <c r="M1379" i="1"/>
  <c r="O1378" i="1" a="1"/>
  <c r="O1378" i="1" s="1"/>
  <c r="N1378" i="1"/>
  <c r="M1378" i="1"/>
  <c r="O1377" i="1" a="1"/>
  <c r="O1377" i="1" s="1"/>
  <c r="N1377" i="1"/>
  <c r="M1377" i="1"/>
  <c r="O1376" i="1" a="1"/>
  <c r="O1376" i="1" s="1"/>
  <c r="N1376" i="1"/>
  <c r="M1376" i="1"/>
  <c r="O1375" i="1" a="1"/>
  <c r="O1375" i="1" s="1"/>
  <c r="N1375" i="1"/>
  <c r="M1375" i="1"/>
  <c r="O1374" i="1" a="1"/>
  <c r="O1374" i="1" s="1"/>
  <c r="N1374" i="1"/>
  <c r="M1374" i="1"/>
  <c r="O1373" i="1" a="1"/>
  <c r="O1373" i="1" s="1"/>
  <c r="N1373" i="1"/>
  <c r="M1373" i="1"/>
  <c r="O1372" i="1" a="1"/>
  <c r="O1372" i="1" s="1"/>
  <c r="N1372" i="1"/>
  <c r="M1372" i="1"/>
  <c r="O1371" i="1" a="1"/>
  <c r="O1371" i="1" s="1"/>
  <c r="N1371" i="1"/>
  <c r="M1371" i="1"/>
  <c r="O1370" i="1" a="1"/>
  <c r="O1370" i="1" s="1"/>
  <c r="N1370" i="1"/>
  <c r="M1370" i="1"/>
  <c r="O1369" i="1" a="1"/>
  <c r="O1369" i="1" s="1"/>
  <c r="N1369" i="1"/>
  <c r="M1369" i="1"/>
  <c r="O1368" i="1" a="1"/>
  <c r="O1368" i="1" s="1"/>
  <c r="N1368" i="1"/>
  <c r="M1368" i="1"/>
  <c r="O1367" i="1" a="1"/>
  <c r="O1367" i="1" s="1"/>
  <c r="N1367" i="1"/>
  <c r="M1367" i="1"/>
  <c r="O1366" i="1" a="1"/>
  <c r="O1366" i="1" s="1"/>
  <c r="N1366" i="1"/>
  <c r="M1366" i="1"/>
  <c r="O1365" i="1" a="1"/>
  <c r="O1365" i="1" s="1"/>
  <c r="N1365" i="1"/>
  <c r="M1365" i="1"/>
  <c r="O1364" i="1" a="1"/>
  <c r="O1364" i="1" s="1"/>
  <c r="N1364" i="1"/>
  <c r="M1364" i="1"/>
  <c r="O1363" i="1" a="1"/>
  <c r="O1363" i="1" s="1"/>
  <c r="N1363" i="1"/>
  <c r="M1363" i="1"/>
  <c r="O1362" i="1" a="1"/>
  <c r="O1362" i="1" s="1"/>
  <c r="N1362" i="1"/>
  <c r="M1362" i="1"/>
  <c r="O1361" i="1" a="1"/>
  <c r="O1361" i="1" s="1"/>
  <c r="N1361" i="1"/>
  <c r="M1361" i="1"/>
  <c r="O1360" i="1" a="1"/>
  <c r="O1360" i="1" s="1"/>
  <c r="N1360" i="1"/>
  <c r="M1360" i="1"/>
  <c r="O1359" i="1" a="1"/>
  <c r="O1359" i="1" s="1"/>
  <c r="N1359" i="1"/>
  <c r="M1359" i="1"/>
  <c r="O1358" i="1" a="1"/>
  <c r="O1358" i="1" s="1"/>
  <c r="N1358" i="1"/>
  <c r="M1358" i="1"/>
  <c r="O1357" i="1" a="1"/>
  <c r="O1357" i="1" s="1"/>
  <c r="N1357" i="1"/>
  <c r="M1357" i="1"/>
  <c r="O1356" i="1" a="1"/>
  <c r="O1356" i="1" s="1"/>
  <c r="N1356" i="1"/>
  <c r="M1356" i="1"/>
  <c r="O1355" i="1" a="1"/>
  <c r="O1355" i="1" s="1"/>
  <c r="N1355" i="1"/>
  <c r="M1355" i="1"/>
  <c r="O1354" i="1" a="1"/>
  <c r="O1354" i="1" s="1"/>
  <c r="N1354" i="1"/>
  <c r="M1354" i="1"/>
  <c r="O1353" i="1" a="1"/>
  <c r="O1353" i="1" s="1"/>
  <c r="N1353" i="1"/>
  <c r="M1353" i="1"/>
  <c r="O1352" i="1" a="1"/>
  <c r="O1352" i="1" s="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a="1"/>
  <c r="O1344" i="1" s="1"/>
  <c r="N1344" i="1"/>
  <c r="M1344" i="1"/>
  <c r="O1343" i="1" a="1"/>
  <c r="O1343" i="1" s="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a="1"/>
  <c r="O1337" i="1" s="1"/>
  <c r="N1337" i="1"/>
  <c r="M1337" i="1"/>
  <c r="O1336" i="1" a="1"/>
  <c r="O1336" i="1" s="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a="1"/>
  <c r="O1330" i="1" s="1"/>
  <c r="N1330" i="1"/>
  <c r="M1330" i="1"/>
  <c r="O1329" i="1" a="1"/>
  <c r="O1329" i="1" s="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a="1"/>
  <c r="O1323" i="1" s="1"/>
  <c r="N1323" i="1"/>
  <c r="M1323" i="1"/>
  <c r="O1322" i="1" a="1"/>
  <c r="O1322" i="1" s="1"/>
  <c r="N1322" i="1"/>
  <c r="M1322" i="1"/>
  <c r="O1321" i="1" a="1"/>
  <c r="O1321" i="1" s="1"/>
  <c r="N1321" i="1"/>
  <c r="M1321" i="1"/>
  <c r="O1320" i="1" a="1"/>
  <c r="O1320" i="1" s="1"/>
  <c r="N1320" i="1"/>
  <c r="M1320" i="1"/>
  <c r="O1319" i="1" a="1"/>
  <c r="O1319" i="1" s="1"/>
  <c r="N1319" i="1"/>
  <c r="M1319" i="1"/>
  <c r="O1318" i="1" a="1"/>
  <c r="O1318" i="1" s="1"/>
  <c r="N1318" i="1"/>
  <c r="M1318" i="1"/>
  <c r="O1317" i="1" a="1"/>
  <c r="O1317" i="1" s="1"/>
  <c r="N1317" i="1"/>
  <c r="M1317" i="1"/>
  <c r="O1316" i="1" a="1"/>
  <c r="O1316" i="1" s="1"/>
  <c r="N1316" i="1"/>
  <c r="M1316" i="1"/>
  <c r="O1315" i="1" a="1"/>
  <c r="O1315" i="1" s="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a="1"/>
  <c r="O1309" i="1" s="1"/>
  <c r="N1309" i="1"/>
  <c r="M1309" i="1"/>
  <c r="O1308" i="1" a="1"/>
  <c r="O1308" i="1" s="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a="1"/>
  <c r="O1302" i="1" s="1"/>
  <c r="N1302" i="1"/>
  <c r="M1302" i="1"/>
  <c r="O1301" i="1" a="1"/>
  <c r="O1301" i="1" s="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a="1"/>
  <c r="O1295" i="1" s="1"/>
  <c r="N1295" i="1"/>
  <c r="M1295" i="1"/>
  <c r="O1294" i="1" a="1"/>
  <c r="O1294" i="1" s="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a="1"/>
  <c r="O1288" i="1" s="1"/>
  <c r="N1288" i="1"/>
  <c r="M1288" i="1"/>
  <c r="O1287" i="1" a="1"/>
  <c r="O1287" i="1" s="1"/>
  <c r="N1287" i="1"/>
  <c r="M1287" i="1"/>
  <c r="O1286" i="1" a="1"/>
  <c r="O1286" i="1" s="1"/>
  <c r="N1286" i="1"/>
  <c r="M1286" i="1"/>
  <c r="O1285" i="1" a="1"/>
  <c r="O1285" i="1" s="1"/>
  <c r="N1285" i="1"/>
  <c r="M1285" i="1"/>
  <c r="O1284" i="1" a="1"/>
  <c r="O1284" i="1" s="1"/>
  <c r="N1284" i="1"/>
  <c r="M1284" i="1"/>
  <c r="O1283" i="1" a="1"/>
  <c r="O1283" i="1" s="1"/>
  <c r="N1283" i="1"/>
  <c r="M1283" i="1"/>
  <c r="O1282" i="1" a="1"/>
  <c r="O1282" i="1" s="1"/>
  <c r="N1282" i="1"/>
  <c r="M1282" i="1"/>
  <c r="O1281" i="1" a="1"/>
  <c r="O1281" i="1" s="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a="1"/>
  <c r="O1274" i="1" s="1"/>
  <c r="N1274" i="1"/>
  <c r="M1274" i="1"/>
  <c r="O1273" i="1" a="1"/>
  <c r="O1273" i="1" s="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a="1"/>
  <c r="O1267" i="1" s="1"/>
  <c r="N1267" i="1"/>
  <c r="M1267" i="1"/>
  <c r="O1266" i="1" a="1"/>
  <c r="O1266" i="1" s="1"/>
  <c r="N1266" i="1"/>
  <c r="M1266" i="1"/>
  <c r="O1265" i="1" a="1"/>
  <c r="O1265" i="1" s="1"/>
  <c r="N1265" i="1"/>
  <c r="M1265" i="1"/>
  <c r="O1264" i="1" a="1"/>
  <c r="O1264" i="1" s="1"/>
  <c r="N1264" i="1"/>
  <c r="M1264" i="1"/>
  <c r="O1263" i="1" a="1"/>
  <c r="O1263" i="1" s="1"/>
  <c r="N1263" i="1"/>
  <c r="M1263" i="1"/>
  <c r="O1262" i="1" a="1"/>
  <c r="O1262" i="1" s="1"/>
  <c r="N1262" i="1"/>
  <c r="M1262" i="1"/>
  <c r="O1261" i="1" a="1"/>
  <c r="O1261" i="1" s="1"/>
  <c r="N1261" i="1"/>
  <c r="M1261" i="1"/>
  <c r="O1260" i="1" a="1"/>
  <c r="O1260" i="1" s="1"/>
  <c r="N1260" i="1"/>
  <c r="M1260" i="1"/>
  <c r="O1259" i="1" a="1"/>
  <c r="O1259" i="1" s="1"/>
  <c r="N1259" i="1"/>
  <c r="M1259" i="1"/>
  <c r="O1258" i="1" a="1"/>
  <c r="O1258" i="1" s="1"/>
  <c r="N1258" i="1"/>
  <c r="M1258" i="1"/>
  <c r="O1257" i="1" a="1"/>
  <c r="O1257" i="1" s="1"/>
  <c r="N1257" i="1"/>
  <c r="M1257" i="1"/>
  <c r="O1256" i="1" a="1"/>
  <c r="O1256" i="1" s="1"/>
  <c r="N1256" i="1"/>
  <c r="M1256" i="1"/>
  <c r="O1255" i="1" a="1"/>
  <c r="O1255" i="1" s="1"/>
  <c r="N1255" i="1"/>
  <c r="M1255" i="1"/>
  <c r="O1254" i="1" a="1"/>
  <c r="O1254" i="1" s="1"/>
  <c r="N1254" i="1"/>
  <c r="M1254" i="1"/>
  <c r="O1253" i="1" a="1"/>
  <c r="O1253" i="1" s="1"/>
  <c r="N1253" i="1"/>
  <c r="M1253" i="1"/>
  <c r="O1252" i="1" a="1"/>
  <c r="O1252" i="1" s="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a="1"/>
  <c r="O1246" i="1" s="1"/>
  <c r="N1246" i="1"/>
  <c r="M1246" i="1"/>
  <c r="O1245" i="1" a="1"/>
  <c r="O1245" i="1" s="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a="1"/>
  <c r="O1239" i="1" s="1"/>
  <c r="N1239" i="1"/>
  <c r="M1239" i="1"/>
  <c r="O1238" i="1" a="1"/>
  <c r="O1238" i="1" s="1"/>
  <c r="N1238" i="1"/>
  <c r="M1238" i="1"/>
  <c r="O1237" i="1" a="1"/>
  <c r="O1237" i="1" s="1"/>
  <c r="N1237" i="1"/>
  <c r="M1237" i="1"/>
  <c r="O1236" i="1" a="1"/>
  <c r="O1236" i="1" s="1"/>
  <c r="N1236" i="1"/>
  <c r="M1236" i="1"/>
  <c r="O1235" i="1" a="1"/>
  <c r="O1235" i="1" s="1"/>
  <c r="N1235" i="1"/>
  <c r="M1235" i="1"/>
  <c r="O1234" i="1" a="1"/>
  <c r="O1234" i="1" s="1"/>
  <c r="N1234" i="1"/>
  <c r="M1234" i="1"/>
  <c r="O1233" i="1" a="1"/>
  <c r="O1233" i="1" s="1"/>
  <c r="N1233" i="1"/>
  <c r="M1233" i="1"/>
  <c r="O1232" i="1" a="1"/>
  <c r="O1232" i="1" s="1"/>
  <c r="N1232" i="1"/>
  <c r="M1232" i="1"/>
  <c r="O1231" i="1" a="1"/>
  <c r="O1231" i="1" s="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a="1"/>
  <c r="O1224" i="1" s="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a="1"/>
  <c r="O1218" i="1" s="1"/>
  <c r="N1218" i="1"/>
  <c r="M1218" i="1"/>
  <c r="O1217" i="1" a="1"/>
  <c r="O1217" i="1" s="1"/>
  <c r="N1217" i="1"/>
  <c r="M1217" i="1"/>
  <c r="O1216" i="1" a="1"/>
  <c r="O1216" i="1" s="1"/>
  <c r="N1216" i="1"/>
  <c r="M1216" i="1"/>
  <c r="O1215" i="1" a="1"/>
  <c r="O1215" i="1" s="1"/>
  <c r="N1215" i="1"/>
  <c r="M1215" i="1"/>
  <c r="O1214" i="1" a="1"/>
  <c r="O1214" i="1" s="1"/>
  <c r="N1214" i="1"/>
  <c r="M1214" i="1"/>
  <c r="O1213" i="1" a="1"/>
  <c r="O1213" i="1" s="1"/>
  <c r="N1213" i="1"/>
  <c r="M1213" i="1"/>
  <c r="O1212" i="1" a="1"/>
  <c r="O1212" i="1" s="1"/>
  <c r="N1212" i="1"/>
  <c r="M1212" i="1"/>
  <c r="O1211" i="1" a="1"/>
  <c r="O1211" i="1" s="1"/>
  <c r="N1211" i="1"/>
  <c r="M1211" i="1"/>
  <c r="O1210" i="1" a="1"/>
  <c r="O1210" i="1" s="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a="1"/>
  <c r="O1204" i="1" s="1"/>
  <c r="N1204" i="1"/>
  <c r="M1204" i="1"/>
  <c r="O1203" i="1" a="1"/>
  <c r="O1203" i="1" s="1"/>
  <c r="N1203" i="1"/>
  <c r="M1203" i="1"/>
  <c r="O1202" i="1" a="1"/>
  <c r="O1202" i="1" s="1"/>
  <c r="N1202" i="1"/>
  <c r="M1202" i="1"/>
  <c r="O1201" i="1" a="1"/>
  <c r="O1201" i="1" s="1"/>
  <c r="N1201" i="1"/>
  <c r="M1201" i="1"/>
  <c r="O1200" i="1" a="1"/>
  <c r="O1200" i="1" s="1"/>
  <c r="N1200" i="1"/>
  <c r="M1200" i="1"/>
  <c r="O1199" i="1" a="1"/>
  <c r="O1199" i="1" s="1"/>
  <c r="N1199" i="1"/>
  <c r="M1199" i="1"/>
  <c r="O1198" i="1" a="1"/>
  <c r="O1198" i="1" s="1"/>
  <c r="N1198" i="1"/>
  <c r="M1198" i="1"/>
  <c r="O1197" i="1" a="1"/>
  <c r="O1197" i="1" s="1"/>
  <c r="N1197" i="1"/>
  <c r="M1197" i="1"/>
  <c r="O1196" i="1" a="1"/>
  <c r="O1196" i="1" s="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a="1"/>
  <c r="O1190" i="1" s="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a="1"/>
  <c r="O1183" i="1" s="1"/>
  <c r="N1183" i="1"/>
  <c r="M1183" i="1"/>
  <c r="O1182" i="1" a="1"/>
  <c r="O1182" i="1" s="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a="1"/>
  <c r="O1176" i="1" s="1"/>
  <c r="N1176" i="1"/>
  <c r="M1176" i="1"/>
  <c r="O1175" i="1" a="1"/>
  <c r="O1175" i="1" s="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a="1"/>
  <c r="O1169" i="1" s="1"/>
  <c r="N1169" i="1"/>
  <c r="M1169" i="1"/>
  <c r="O1168" i="1" a="1"/>
  <c r="O1168" i="1" s="1"/>
  <c r="N1168" i="1"/>
  <c r="M1168" i="1"/>
  <c r="O1167" i="1" a="1"/>
  <c r="O1167" i="1" s="1"/>
  <c r="N1167" i="1"/>
  <c r="M1167" i="1"/>
  <c r="O1166" i="1" a="1"/>
  <c r="O1166" i="1" s="1"/>
  <c r="N1166" i="1"/>
  <c r="M1166" i="1"/>
  <c r="O1165" i="1" a="1"/>
  <c r="O1165" i="1" s="1"/>
  <c r="N1165" i="1"/>
  <c r="M1165" i="1"/>
  <c r="O1164" i="1" a="1"/>
  <c r="O1164" i="1" s="1"/>
  <c r="N1164" i="1"/>
  <c r="M1164" i="1"/>
  <c r="O1163" i="1" a="1"/>
  <c r="O1163" i="1" s="1"/>
  <c r="N1163" i="1"/>
  <c r="M1163" i="1"/>
  <c r="O1162" i="1" a="1"/>
  <c r="O1162" i="1" s="1"/>
  <c r="N1162" i="1"/>
  <c r="M1162" i="1"/>
  <c r="O1161" i="1" a="1"/>
  <c r="O1161" i="1" s="1"/>
  <c r="N1161" i="1"/>
  <c r="M1161" i="1"/>
  <c r="O1160" i="1" a="1"/>
  <c r="O1160" i="1" s="1"/>
  <c r="N1160" i="1"/>
  <c r="M1160" i="1"/>
  <c r="O1159" i="1" a="1"/>
  <c r="O1159" i="1" s="1"/>
  <c r="N1159" i="1"/>
  <c r="M1159" i="1"/>
  <c r="O1158" i="1" a="1"/>
  <c r="O1158" i="1" s="1"/>
  <c r="N1158" i="1"/>
  <c r="M1158" i="1"/>
  <c r="O1157" i="1" a="1"/>
  <c r="O1157" i="1" s="1"/>
  <c r="N1157" i="1"/>
  <c r="M1157" i="1"/>
  <c r="O1156" i="1" a="1"/>
  <c r="O1156" i="1" s="1"/>
  <c r="N1156" i="1"/>
  <c r="M1156" i="1"/>
  <c r="O1155" i="1" a="1"/>
  <c r="O1155" i="1" s="1"/>
  <c r="N1155" i="1"/>
  <c r="M1155" i="1"/>
  <c r="O1154" i="1" a="1"/>
  <c r="O1154" i="1" s="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a="1"/>
  <c r="O1148" i="1" s="1"/>
  <c r="N1148" i="1"/>
  <c r="M1148" i="1"/>
  <c r="O1147" i="1" a="1"/>
  <c r="O1147" i="1" s="1"/>
  <c r="N1147" i="1"/>
  <c r="M1147" i="1"/>
  <c r="O1146" i="1" a="1"/>
  <c r="O1146" i="1" s="1"/>
  <c r="N1146" i="1"/>
  <c r="M1146" i="1"/>
  <c r="O1145" i="1" a="1"/>
  <c r="O1145" i="1" s="1"/>
  <c r="N1145" i="1"/>
  <c r="M1145" i="1"/>
  <c r="O1144" i="1" a="1"/>
  <c r="O1144" i="1" s="1"/>
  <c r="N1144" i="1"/>
  <c r="M1144" i="1"/>
  <c r="O1143" i="1" a="1"/>
  <c r="O1143" i="1" s="1"/>
  <c r="N1143" i="1"/>
  <c r="M1143" i="1"/>
  <c r="O1142" i="1" a="1"/>
  <c r="O1142" i="1" s="1"/>
  <c r="N1142" i="1"/>
  <c r="M1142" i="1"/>
  <c r="O1141" i="1" a="1"/>
  <c r="O1141" i="1" s="1"/>
  <c r="N1141" i="1"/>
  <c r="M1141" i="1"/>
  <c r="O1140" i="1" a="1"/>
  <c r="O1140" i="1" s="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a="1"/>
  <c r="O1134" i="1" s="1"/>
  <c r="N1134" i="1"/>
  <c r="M1134" i="1"/>
  <c r="O1133" i="1" a="1"/>
  <c r="O1133" i="1" s="1"/>
  <c r="N1133" i="1"/>
  <c r="M1133" i="1"/>
  <c r="O1132" i="1" a="1"/>
  <c r="O1132" i="1" s="1"/>
  <c r="N1132" i="1"/>
  <c r="M1132" i="1"/>
  <c r="O1131" i="1" a="1"/>
  <c r="O1131" i="1" s="1"/>
  <c r="N1131" i="1"/>
  <c r="M1131" i="1"/>
  <c r="O1130" i="1" a="1"/>
  <c r="O1130" i="1" s="1"/>
  <c r="N1130" i="1"/>
  <c r="M1130" i="1"/>
  <c r="O1129" i="1" a="1"/>
  <c r="O1129" i="1" s="1"/>
  <c r="N1129" i="1"/>
  <c r="M1129" i="1"/>
  <c r="O1128" i="1" a="1"/>
  <c r="O1128" i="1" s="1"/>
  <c r="N1128" i="1"/>
  <c r="M1128" i="1"/>
  <c r="O1127" i="1"/>
  <c r="O1127" i="1" a="1"/>
  <c r="N1127" i="1"/>
  <c r="M1127" i="1"/>
  <c r="O1126" i="1" a="1"/>
  <c r="O1126" i="1" s="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a="1"/>
  <c r="O1120" i="1" s="1"/>
  <c r="N1120" i="1"/>
  <c r="M1120" i="1"/>
  <c r="O1119" i="1" a="1"/>
  <c r="O1119" i="1" s="1"/>
  <c r="N1119" i="1"/>
  <c r="M1119" i="1"/>
  <c r="O1118" i="1" a="1"/>
  <c r="O1118" i="1" s="1"/>
  <c r="N1118" i="1"/>
  <c r="M1118" i="1"/>
  <c r="O1117" i="1" a="1"/>
  <c r="O1117" i="1" s="1"/>
  <c r="N1117" i="1"/>
  <c r="M1117" i="1"/>
  <c r="O1116" i="1" a="1"/>
  <c r="O1116" i="1" s="1"/>
  <c r="N1116" i="1"/>
  <c r="M1116" i="1"/>
  <c r="O1115" i="1" a="1"/>
  <c r="O1115" i="1" s="1"/>
  <c r="N1115" i="1"/>
  <c r="M1115" i="1"/>
  <c r="O1114" i="1"/>
  <c r="O1114" i="1" a="1"/>
  <c r="N1114" i="1"/>
  <c r="M1114" i="1"/>
  <c r="O1113" i="1" a="1"/>
  <c r="O1113" i="1" s="1"/>
  <c r="N1113" i="1"/>
  <c r="M1113" i="1"/>
  <c r="O1112" i="1" a="1"/>
  <c r="O1112" i="1" s="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a="1"/>
  <c r="O1106" i="1" s="1"/>
  <c r="N1106" i="1"/>
  <c r="M1106" i="1"/>
  <c r="O1105" i="1" a="1"/>
  <c r="O1105" i="1" s="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a="1"/>
  <c r="O1099" i="1" s="1"/>
  <c r="N1099" i="1"/>
  <c r="M1099" i="1"/>
  <c r="O1098" i="1" a="1"/>
  <c r="O1098" i="1" s="1"/>
  <c r="N1098" i="1"/>
  <c r="M1098" i="1"/>
  <c r="O1097" i="1" a="1"/>
  <c r="O1097" i="1" s="1"/>
  <c r="N1097" i="1"/>
  <c r="M1097" i="1"/>
  <c r="O1096" i="1" a="1"/>
  <c r="O1096" i="1" s="1"/>
  <c r="N1096" i="1"/>
  <c r="M1096" i="1"/>
  <c r="O1095" i="1" a="1"/>
  <c r="O1095" i="1" s="1"/>
  <c r="N1095" i="1"/>
  <c r="M1095" i="1"/>
  <c r="O1094" i="1" a="1"/>
  <c r="O1094" i="1" s="1"/>
  <c r="N1094" i="1"/>
  <c r="M1094" i="1"/>
  <c r="O1093" i="1" a="1"/>
  <c r="O1093" i="1" s="1"/>
  <c r="N1093" i="1"/>
  <c r="M1093" i="1"/>
  <c r="O1092" i="1" a="1"/>
  <c r="O1092" i="1" s="1"/>
  <c r="N1092" i="1"/>
  <c r="M1092" i="1"/>
  <c r="O1091" i="1" a="1"/>
  <c r="O1091" i="1" s="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a="1"/>
  <c r="O1085" i="1" s="1"/>
  <c r="N1085" i="1"/>
  <c r="M1085" i="1"/>
  <c r="O1084" i="1" a="1"/>
  <c r="O1084" i="1" s="1"/>
  <c r="N1084" i="1"/>
  <c r="M1084" i="1"/>
  <c r="O1083" i="1" a="1"/>
  <c r="O1083" i="1" s="1"/>
  <c r="N1083" i="1"/>
  <c r="M1083" i="1"/>
  <c r="O1082" i="1" a="1"/>
  <c r="O1082" i="1" s="1"/>
  <c r="N1082" i="1"/>
  <c r="M1082" i="1"/>
  <c r="O1081" i="1" a="1"/>
  <c r="O1081" i="1" s="1"/>
  <c r="N1081" i="1"/>
  <c r="M1081" i="1"/>
  <c r="O1080" i="1" a="1"/>
  <c r="O1080" i="1" s="1"/>
  <c r="N1080" i="1"/>
  <c r="M1080" i="1"/>
  <c r="O1079" i="1" a="1"/>
  <c r="O1079" i="1" s="1"/>
  <c r="N1079" i="1"/>
  <c r="M1079" i="1"/>
  <c r="O1078" i="1" a="1"/>
  <c r="O1078" i="1" s="1"/>
  <c r="N1078" i="1"/>
  <c r="M1078" i="1"/>
  <c r="O1077" i="1" a="1"/>
  <c r="O1077" i="1" s="1"/>
  <c r="N1077" i="1"/>
  <c r="M1077" i="1"/>
  <c r="O1076" i="1" a="1"/>
  <c r="O1076" i="1" s="1"/>
  <c r="N1076" i="1"/>
  <c r="M1076" i="1"/>
  <c r="O1075" i="1" a="1"/>
  <c r="O1075" i="1" s="1"/>
  <c r="N1075" i="1"/>
  <c r="M1075" i="1"/>
  <c r="O1074" i="1" a="1"/>
  <c r="O1074" i="1" s="1"/>
  <c r="N1074" i="1"/>
  <c r="M1074" i="1"/>
  <c r="O1073" i="1" a="1"/>
  <c r="O1073" i="1" s="1"/>
  <c r="N1073" i="1"/>
  <c r="M1073" i="1"/>
  <c r="O1072" i="1" a="1"/>
  <c r="O1072" i="1" s="1"/>
  <c r="N1072" i="1"/>
  <c r="M1072" i="1"/>
  <c r="O1071" i="1" a="1"/>
  <c r="O1071" i="1" s="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a="1"/>
  <c r="O1064" i="1" s="1"/>
  <c r="N1064" i="1"/>
  <c r="M1064" i="1"/>
  <c r="O1063" i="1" a="1"/>
  <c r="O1063" i="1" s="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a="1"/>
  <c r="O1056" i="1" s="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a="1"/>
  <c r="O1049" i="1" s="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a="1"/>
  <c r="O1042" i="1" s="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a="1"/>
  <c r="O1035" i="1" s="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a="1"/>
  <c r="O1028" i="1" s="1"/>
  <c r="N1028" i="1"/>
  <c r="M1028" i="1"/>
  <c r="O1027" i="1" a="1"/>
  <c r="O1027" i="1" s="1"/>
  <c r="N1027" i="1"/>
  <c r="M1027" i="1"/>
  <c r="O1026" i="1" a="1"/>
  <c r="O1026" i="1" s="1"/>
  <c r="N1026" i="1"/>
  <c r="M1026" i="1"/>
  <c r="O1025" i="1" a="1"/>
  <c r="O1025" i="1" s="1"/>
  <c r="N1025" i="1"/>
  <c r="M1025" i="1"/>
  <c r="O1024" i="1" a="1"/>
  <c r="O1024" i="1" s="1"/>
  <c r="N1024" i="1"/>
  <c r="M1024" i="1"/>
  <c r="O1023" i="1" a="1"/>
  <c r="O1023" i="1" s="1"/>
  <c r="N1023" i="1"/>
  <c r="M1023" i="1"/>
  <c r="O1022" i="1" a="1"/>
  <c r="O1022" i="1" s="1"/>
  <c r="N1022" i="1"/>
  <c r="M1022" i="1"/>
  <c r="O1021" i="1" a="1"/>
  <c r="O1021" i="1" s="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a="1"/>
  <c r="O1014" i="1" s="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a="1"/>
  <c r="O1007" i="1" s="1"/>
  <c r="N1007" i="1"/>
  <c r="M1007" i="1"/>
  <c r="O1006" i="1" a="1"/>
  <c r="O1006" i="1" s="1"/>
  <c r="N1006" i="1"/>
  <c r="M1006" i="1"/>
  <c r="O1005" i="1" a="1"/>
  <c r="O1005" i="1" s="1"/>
  <c r="N1005" i="1"/>
  <c r="M1005" i="1"/>
  <c r="O1004" i="1" a="1"/>
  <c r="O1004" i="1" s="1"/>
  <c r="N1004" i="1"/>
  <c r="M1004" i="1"/>
  <c r="O1003" i="1" a="1"/>
  <c r="O1003" i="1" s="1"/>
  <c r="N1003" i="1"/>
  <c r="M1003" i="1"/>
  <c r="O1002" i="1" a="1"/>
  <c r="O1002" i="1" s="1"/>
  <c r="N1002" i="1"/>
  <c r="M1002" i="1"/>
  <c r="O1001" i="1" a="1"/>
  <c r="O1001" i="1" s="1"/>
  <c r="N1001" i="1"/>
  <c r="M1001" i="1"/>
  <c r="O1000" i="1" a="1"/>
  <c r="O1000" i="1" s="1"/>
  <c r="N1000" i="1"/>
  <c r="M1000" i="1"/>
  <c r="O999" i="1" a="1"/>
  <c r="O999" i="1" s="1"/>
  <c r="N999" i="1"/>
  <c r="M999" i="1"/>
  <c r="O998" i="1" a="1"/>
  <c r="O998" i="1" s="1"/>
  <c r="N998" i="1"/>
  <c r="M998" i="1"/>
  <c r="O997" i="1" a="1"/>
  <c r="O997" i="1" s="1"/>
  <c r="N997" i="1"/>
  <c r="M997" i="1"/>
  <c r="O996" i="1" a="1"/>
  <c r="O996" i="1" s="1"/>
  <c r="N996" i="1"/>
  <c r="M996" i="1"/>
  <c r="O995" i="1" a="1"/>
  <c r="O995" i="1" s="1"/>
  <c r="N995" i="1"/>
  <c r="M995" i="1"/>
  <c r="O994" i="1" a="1"/>
  <c r="O994" i="1" s="1"/>
  <c r="N994" i="1"/>
  <c r="M994" i="1"/>
  <c r="O993" i="1" a="1"/>
  <c r="O993" i="1" s="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a="1"/>
  <c r="O986" i="1" s="1"/>
  <c r="N986" i="1"/>
  <c r="M986" i="1"/>
  <c r="O985" i="1" a="1"/>
  <c r="O985" i="1" s="1"/>
  <c r="N985" i="1"/>
  <c r="M985" i="1"/>
  <c r="O984" i="1" a="1"/>
  <c r="O984" i="1" s="1"/>
  <c r="N984" i="1"/>
  <c r="M984" i="1"/>
  <c r="O983" i="1" a="1"/>
  <c r="O983" i="1" s="1"/>
  <c r="N983" i="1"/>
  <c r="M983" i="1"/>
  <c r="O982" i="1" a="1"/>
  <c r="O982" i="1" s="1"/>
  <c r="N982" i="1"/>
  <c r="M982" i="1"/>
  <c r="O981" i="1" a="1"/>
  <c r="O981" i="1" s="1"/>
  <c r="N981" i="1"/>
  <c r="M981" i="1"/>
  <c r="O980" i="1" a="1"/>
  <c r="O980" i="1" s="1"/>
  <c r="N980" i="1"/>
  <c r="M980" i="1"/>
  <c r="O979" i="1"/>
  <c r="O979" i="1" a="1"/>
  <c r="N979" i="1"/>
  <c r="M979" i="1"/>
  <c r="O978" i="1" a="1"/>
  <c r="O978" i="1" s="1"/>
  <c r="N978" i="1"/>
  <c r="M978" i="1"/>
  <c r="O977" i="1" a="1"/>
  <c r="O977" i="1" s="1"/>
  <c r="N977" i="1"/>
  <c r="M977" i="1"/>
  <c r="O976" i="1" a="1"/>
  <c r="O976" i="1" s="1"/>
  <c r="N976" i="1"/>
  <c r="M976" i="1"/>
  <c r="O975" i="1" a="1"/>
  <c r="O975" i="1" s="1"/>
  <c r="N975" i="1"/>
  <c r="M975" i="1"/>
  <c r="O974" i="1" a="1"/>
  <c r="O974" i="1" s="1"/>
  <c r="N974" i="1"/>
  <c r="M974" i="1"/>
  <c r="O973" i="1" a="1"/>
  <c r="O973" i="1" s="1"/>
  <c r="N973" i="1"/>
  <c r="M973" i="1"/>
  <c r="O972" i="1" a="1"/>
  <c r="O972" i="1" s="1"/>
  <c r="N972" i="1"/>
  <c r="M972" i="1"/>
  <c r="O971" i="1" a="1"/>
  <c r="O971" i="1" s="1"/>
  <c r="N971" i="1"/>
  <c r="M971" i="1"/>
  <c r="O970" i="1" a="1"/>
  <c r="O970" i="1" s="1"/>
  <c r="N970" i="1"/>
  <c r="M970" i="1"/>
  <c r="O969" i="1" a="1"/>
  <c r="O969" i="1" s="1"/>
  <c r="N969" i="1"/>
  <c r="M969" i="1"/>
  <c r="O968" i="1" a="1"/>
  <c r="O968" i="1" s="1"/>
  <c r="N968" i="1"/>
  <c r="M968" i="1"/>
  <c r="O967" i="1" a="1"/>
  <c r="O967" i="1" s="1"/>
  <c r="N967" i="1"/>
  <c r="M967" i="1"/>
  <c r="O966" i="1" a="1"/>
  <c r="O966" i="1" s="1"/>
  <c r="N966" i="1"/>
  <c r="M966" i="1"/>
  <c r="O965" i="1" a="1"/>
  <c r="O965" i="1" s="1"/>
  <c r="N965" i="1"/>
  <c r="M965" i="1"/>
  <c r="O964" i="1" a="1"/>
  <c r="O964" i="1" s="1"/>
  <c r="N964" i="1"/>
  <c r="M964" i="1"/>
  <c r="O963" i="1" a="1"/>
  <c r="O963" i="1" s="1"/>
  <c r="N963" i="1"/>
  <c r="M963" i="1"/>
  <c r="O962" i="1" a="1"/>
  <c r="O962" i="1" s="1"/>
  <c r="N962" i="1"/>
  <c r="M962" i="1"/>
  <c r="O961" i="1" a="1"/>
  <c r="O961" i="1" s="1"/>
  <c r="N961" i="1"/>
  <c r="M961" i="1"/>
  <c r="O960" i="1" a="1"/>
  <c r="O960" i="1" s="1"/>
  <c r="N960" i="1"/>
  <c r="M960" i="1"/>
  <c r="O959" i="1" a="1"/>
  <c r="O959" i="1" s="1"/>
  <c r="N959" i="1"/>
  <c r="M959" i="1"/>
  <c r="O958" i="1" a="1"/>
  <c r="O958" i="1" s="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a="1"/>
  <c r="O951" i="1" s="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a="1"/>
  <c r="O944" i="1" s="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a="1"/>
  <c r="O937" i="1" s="1"/>
  <c r="N937" i="1"/>
  <c r="M937" i="1"/>
  <c r="O936" i="1" a="1"/>
  <c r="O936" i="1" s="1"/>
  <c r="N936" i="1"/>
  <c r="M936" i="1"/>
  <c r="O935" i="1" a="1"/>
  <c r="O935" i="1" s="1"/>
  <c r="N935" i="1"/>
  <c r="M935" i="1"/>
  <c r="O934" i="1" a="1"/>
  <c r="O934" i="1" s="1"/>
  <c r="N934" i="1"/>
  <c r="M934" i="1"/>
  <c r="O933" i="1" a="1"/>
  <c r="O933" i="1" s="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a="1"/>
  <c r="O923" i="1" s="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a="1"/>
  <c r="O916" i="1" s="1"/>
  <c r="N916" i="1"/>
  <c r="M916" i="1"/>
  <c r="O915" i="1" a="1"/>
  <c r="O915" i="1" s="1"/>
  <c r="N915" i="1"/>
  <c r="M915" i="1"/>
  <c r="O914" i="1" a="1"/>
  <c r="O914" i="1" s="1"/>
  <c r="N914" i="1"/>
  <c r="M914" i="1"/>
  <c r="O913" i="1" a="1"/>
  <c r="O913" i="1" s="1"/>
  <c r="N913" i="1"/>
  <c r="M913" i="1"/>
  <c r="O912" i="1" a="1"/>
  <c r="O912" i="1" s="1"/>
  <c r="N912" i="1"/>
  <c r="M912" i="1"/>
  <c r="O911" i="1" a="1"/>
  <c r="O911" i="1" s="1"/>
  <c r="N911" i="1"/>
  <c r="M911" i="1"/>
  <c r="O910" i="1" a="1"/>
  <c r="O910" i="1" s="1"/>
  <c r="N910" i="1"/>
  <c r="M910" i="1"/>
  <c r="O909" i="1"/>
  <c r="O909" i="1" a="1"/>
  <c r="N909" i="1"/>
  <c r="M909" i="1"/>
  <c r="O908" i="1" a="1"/>
  <c r="O908" i="1" s="1"/>
  <c r="N908" i="1"/>
  <c r="M908" i="1"/>
  <c r="O907" i="1" a="1"/>
  <c r="O907" i="1" s="1"/>
  <c r="N907" i="1"/>
  <c r="M907" i="1"/>
  <c r="O906" i="1" a="1"/>
  <c r="O906" i="1" s="1"/>
  <c r="N906" i="1"/>
  <c r="M906" i="1"/>
  <c r="O905" i="1" a="1"/>
  <c r="O905" i="1" s="1"/>
  <c r="N905" i="1"/>
  <c r="M905" i="1"/>
  <c r="O904" i="1" a="1"/>
  <c r="O904" i="1" s="1"/>
  <c r="N904" i="1"/>
  <c r="M904" i="1"/>
  <c r="O903" i="1"/>
  <c r="O903" i="1" a="1"/>
  <c r="N903" i="1"/>
  <c r="M903" i="1"/>
  <c r="O902" i="1" a="1"/>
  <c r="O902" i="1" s="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a="1"/>
  <c r="O896" i="1" s="1"/>
  <c r="N896" i="1"/>
  <c r="M896" i="1"/>
  <c r="O895" i="1" a="1"/>
  <c r="O895" i="1" s="1"/>
  <c r="N895" i="1"/>
  <c r="M895" i="1"/>
  <c r="O894" i="1" a="1"/>
  <c r="O894" i="1" s="1"/>
  <c r="N894" i="1"/>
  <c r="M894" i="1"/>
  <c r="O893" i="1"/>
  <c r="O893" i="1" a="1"/>
  <c r="N893" i="1"/>
  <c r="M893" i="1"/>
  <c r="O892" i="1" a="1"/>
  <c r="O892" i="1" s="1"/>
  <c r="N892" i="1"/>
  <c r="M892" i="1"/>
  <c r="O891" i="1" a="1"/>
  <c r="O891" i="1" s="1"/>
  <c r="N891" i="1"/>
  <c r="M891" i="1"/>
  <c r="O890" i="1" a="1"/>
  <c r="O890" i="1" s="1"/>
  <c r="N890" i="1"/>
  <c r="M890" i="1"/>
  <c r="O889" i="1" a="1"/>
  <c r="O889" i="1" s="1"/>
  <c r="N889" i="1"/>
  <c r="M889" i="1"/>
  <c r="O888" i="1" a="1"/>
  <c r="O888" i="1" s="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a="1"/>
  <c r="O878" i="1" s="1"/>
  <c r="N878" i="1"/>
  <c r="M878" i="1"/>
  <c r="O877" i="1" a="1"/>
  <c r="O877" i="1" s="1"/>
  <c r="N877" i="1"/>
  <c r="M877" i="1"/>
  <c r="O876" i="1" a="1"/>
  <c r="O876" i="1" s="1"/>
  <c r="N876" i="1"/>
  <c r="M876" i="1"/>
  <c r="O875" i="1"/>
  <c r="O875" i="1" a="1"/>
  <c r="N875" i="1"/>
  <c r="M875" i="1"/>
  <c r="O874" i="1" a="1"/>
  <c r="O874" i="1" s="1"/>
  <c r="N874" i="1"/>
  <c r="M874" i="1"/>
  <c r="O873" i="1" a="1"/>
  <c r="O873" i="1" s="1"/>
  <c r="N873" i="1"/>
  <c r="M873" i="1"/>
  <c r="O872" i="1" a="1"/>
  <c r="O872" i="1" s="1"/>
  <c r="N872" i="1"/>
  <c r="M872" i="1"/>
  <c r="O871" i="1" a="1"/>
  <c r="O871" i="1" s="1"/>
  <c r="N871" i="1"/>
  <c r="M871" i="1"/>
  <c r="O870" i="1" a="1"/>
  <c r="O870" i="1" s="1"/>
  <c r="N870" i="1"/>
  <c r="M870" i="1"/>
  <c r="O869" i="1" a="1"/>
  <c r="O869" i="1" s="1"/>
  <c r="N869" i="1"/>
  <c r="M869" i="1"/>
  <c r="O868" i="1" a="1"/>
  <c r="O868" i="1" s="1"/>
  <c r="N868" i="1"/>
  <c r="M868" i="1"/>
  <c r="O867" i="1" a="1"/>
  <c r="O867" i="1" s="1"/>
  <c r="N867" i="1"/>
  <c r="M867" i="1"/>
  <c r="O866" i="1" a="1"/>
  <c r="O866" i="1" s="1"/>
  <c r="N866" i="1"/>
  <c r="M866" i="1"/>
  <c r="O865" i="1" a="1"/>
  <c r="O865" i="1" s="1"/>
  <c r="N865" i="1"/>
  <c r="M865" i="1"/>
  <c r="O864" i="1" a="1"/>
  <c r="O864" i="1" s="1"/>
  <c r="N864" i="1"/>
  <c r="M864" i="1"/>
  <c r="O863" i="1" a="1"/>
  <c r="O863" i="1" s="1"/>
  <c r="N863" i="1"/>
  <c r="M863" i="1"/>
  <c r="O862" i="1" a="1"/>
  <c r="O862" i="1" s="1"/>
  <c r="N862" i="1"/>
  <c r="M862" i="1"/>
  <c r="O861" i="1" a="1"/>
  <c r="O861" i="1" s="1"/>
  <c r="N861" i="1"/>
  <c r="M861" i="1"/>
  <c r="O860" i="1" a="1"/>
  <c r="O860" i="1" s="1"/>
  <c r="N860" i="1"/>
  <c r="M860" i="1"/>
  <c r="O859" i="1" a="1"/>
  <c r="O859" i="1" s="1"/>
  <c r="N859" i="1"/>
  <c r="M859" i="1"/>
  <c r="O858" i="1"/>
  <c r="O858" i="1" a="1"/>
  <c r="N858" i="1"/>
  <c r="M858" i="1"/>
  <c r="O857" i="1" a="1"/>
  <c r="O857" i="1" s="1"/>
  <c r="N857" i="1"/>
  <c r="M857" i="1"/>
  <c r="O856" i="1" a="1"/>
  <c r="O856" i="1" s="1"/>
  <c r="N856" i="1"/>
  <c r="M856" i="1"/>
  <c r="O855" i="1" a="1"/>
  <c r="O855" i="1" s="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a="1"/>
  <c r="O846" i="1" s="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a="1"/>
  <c r="O839" i="1" s="1"/>
  <c r="N839" i="1"/>
  <c r="M839" i="1"/>
  <c r="O838" i="1" a="1"/>
  <c r="O838" i="1" s="1"/>
  <c r="N838" i="1"/>
  <c r="M838" i="1"/>
  <c r="O837" i="1" a="1"/>
  <c r="O837" i="1" s="1"/>
  <c r="N837" i="1"/>
  <c r="M837" i="1"/>
  <c r="O836" i="1" a="1"/>
  <c r="O836" i="1" s="1"/>
  <c r="N836" i="1"/>
  <c r="M836" i="1"/>
  <c r="O835" i="1" a="1"/>
  <c r="O835" i="1" s="1"/>
  <c r="N835" i="1"/>
  <c r="M835" i="1"/>
  <c r="O834" i="1" a="1"/>
  <c r="O834" i="1" s="1"/>
  <c r="N834" i="1"/>
  <c r="M834" i="1"/>
  <c r="O833" i="1" a="1"/>
  <c r="O833" i="1" s="1"/>
  <c r="N833" i="1"/>
  <c r="M833" i="1"/>
  <c r="O832" i="1" a="1"/>
  <c r="O832" i="1" s="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a="1"/>
  <c r="O825" i="1" s="1"/>
  <c r="N825" i="1"/>
  <c r="M825" i="1"/>
  <c r="O824" i="1" a="1"/>
  <c r="O824" i="1" s="1"/>
  <c r="N824" i="1"/>
  <c r="M824" i="1"/>
  <c r="O823" i="1" a="1"/>
  <c r="O823" i="1" s="1"/>
  <c r="N823" i="1"/>
  <c r="M823" i="1"/>
  <c r="O822" i="1" a="1"/>
  <c r="O822" i="1" s="1"/>
  <c r="N822" i="1"/>
  <c r="M822" i="1"/>
  <c r="O821" i="1" a="1"/>
  <c r="O821" i="1" s="1"/>
  <c r="N821" i="1"/>
  <c r="M821" i="1"/>
  <c r="O820" i="1" a="1"/>
  <c r="O820" i="1" s="1"/>
  <c r="N820" i="1"/>
  <c r="M820" i="1"/>
  <c r="O819" i="1" a="1"/>
  <c r="O819" i="1" s="1"/>
  <c r="N819" i="1"/>
  <c r="M819" i="1"/>
  <c r="O818" i="1" a="1"/>
  <c r="O818" i="1" s="1"/>
  <c r="N818" i="1"/>
  <c r="M818" i="1"/>
  <c r="O817" i="1" a="1"/>
  <c r="O817" i="1" s="1"/>
  <c r="N817" i="1"/>
  <c r="M817" i="1"/>
  <c r="O816" i="1" a="1"/>
  <c r="O816" i="1" s="1"/>
  <c r="N816" i="1"/>
  <c r="M816" i="1"/>
  <c r="O815" i="1" a="1"/>
  <c r="O815" i="1" s="1"/>
  <c r="N815" i="1"/>
  <c r="M815" i="1"/>
  <c r="O814" i="1" a="1"/>
  <c r="O814" i="1" s="1"/>
  <c r="N814" i="1"/>
  <c r="M814" i="1"/>
  <c r="O813" i="1" a="1"/>
  <c r="O813" i="1" s="1"/>
  <c r="N813" i="1"/>
  <c r="M813" i="1"/>
  <c r="O812" i="1" a="1"/>
  <c r="O812" i="1" s="1"/>
  <c r="N812" i="1"/>
  <c r="M812" i="1"/>
  <c r="O811" i="1" a="1"/>
  <c r="O811" i="1" s="1"/>
  <c r="N811" i="1"/>
  <c r="M811" i="1"/>
  <c r="O810" i="1" a="1"/>
  <c r="O810" i="1" s="1"/>
  <c r="N810" i="1"/>
  <c r="M810" i="1"/>
  <c r="O809" i="1" a="1"/>
  <c r="O809" i="1" s="1"/>
  <c r="N809" i="1"/>
  <c r="M809" i="1"/>
  <c r="O808" i="1" a="1"/>
  <c r="O808" i="1" s="1"/>
  <c r="N808" i="1"/>
  <c r="M808" i="1"/>
  <c r="O807" i="1" a="1"/>
  <c r="O807" i="1" s="1"/>
  <c r="N807" i="1"/>
  <c r="M807" i="1"/>
  <c r="O806" i="1" a="1"/>
  <c r="O806" i="1" s="1"/>
  <c r="N806" i="1"/>
  <c r="M806" i="1"/>
  <c r="O805" i="1" a="1"/>
  <c r="O805" i="1" s="1"/>
  <c r="N805" i="1"/>
  <c r="M805" i="1"/>
  <c r="O804" i="1" a="1"/>
  <c r="O804" i="1" s="1"/>
  <c r="N804" i="1"/>
  <c r="M804" i="1"/>
  <c r="O803" i="1" a="1"/>
  <c r="O803" i="1" s="1"/>
  <c r="N803" i="1"/>
  <c r="M803" i="1"/>
  <c r="O802" i="1" a="1"/>
  <c r="O802" i="1" s="1"/>
  <c r="N802" i="1"/>
  <c r="M802" i="1"/>
  <c r="O801" i="1" a="1"/>
  <c r="O801" i="1" s="1"/>
  <c r="N801" i="1"/>
  <c r="M801" i="1"/>
  <c r="O800" i="1" a="1"/>
  <c r="O800" i="1" s="1"/>
  <c r="N800" i="1"/>
  <c r="M800" i="1"/>
  <c r="O799" i="1" a="1"/>
  <c r="O799" i="1" s="1"/>
  <c r="N799" i="1"/>
  <c r="M799" i="1"/>
  <c r="O798" i="1" a="1"/>
  <c r="O798" i="1" s="1"/>
  <c r="N798" i="1"/>
  <c r="M798" i="1"/>
  <c r="O797" i="1" a="1"/>
  <c r="O797" i="1" s="1"/>
  <c r="N797" i="1"/>
  <c r="M797" i="1"/>
  <c r="O796" i="1" a="1"/>
  <c r="O796" i="1" s="1"/>
  <c r="N796" i="1"/>
  <c r="M796" i="1"/>
  <c r="O795" i="1" a="1"/>
  <c r="O795" i="1" s="1"/>
  <c r="N795" i="1"/>
  <c r="M795" i="1"/>
  <c r="O794" i="1" a="1"/>
  <c r="O794" i="1" s="1"/>
  <c r="N794" i="1"/>
  <c r="M794" i="1"/>
  <c r="O793" i="1" a="1"/>
  <c r="O793" i="1" s="1"/>
  <c r="N793" i="1"/>
  <c r="M793" i="1"/>
  <c r="O792" i="1" a="1"/>
  <c r="O792" i="1" s="1"/>
  <c r="N792" i="1"/>
  <c r="M792" i="1"/>
  <c r="O791" i="1"/>
  <c r="O791" i="1" a="1"/>
  <c r="N791" i="1"/>
  <c r="M791" i="1"/>
  <c r="O790" i="1" a="1"/>
  <c r="O790" i="1" s="1"/>
  <c r="N790" i="1"/>
  <c r="M790" i="1"/>
  <c r="O789" i="1" a="1"/>
  <c r="O789" i="1" s="1"/>
  <c r="N789" i="1"/>
  <c r="M789" i="1"/>
  <c r="O788" i="1" a="1"/>
  <c r="O788" i="1" s="1"/>
  <c r="N788" i="1"/>
  <c r="M788" i="1"/>
  <c r="O787" i="1" a="1"/>
  <c r="O787" i="1" s="1"/>
  <c r="N787" i="1"/>
  <c r="M787" i="1"/>
  <c r="O786" i="1" a="1"/>
  <c r="O786" i="1" s="1"/>
  <c r="N786" i="1"/>
  <c r="M786" i="1"/>
  <c r="O785" i="1" a="1"/>
  <c r="O785" i="1" s="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a="1"/>
  <c r="O776" i="1" s="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a="1"/>
  <c r="O770" i="1" s="1"/>
  <c r="N770" i="1"/>
  <c r="M770" i="1"/>
  <c r="O769" i="1" a="1"/>
  <c r="O769" i="1" s="1"/>
  <c r="N769" i="1"/>
  <c r="M769" i="1"/>
  <c r="O768" i="1" a="1"/>
  <c r="O768" i="1" s="1"/>
  <c r="N768" i="1"/>
  <c r="M768" i="1"/>
  <c r="O767" i="1" a="1"/>
  <c r="O767" i="1" s="1"/>
  <c r="N767" i="1"/>
  <c r="M767" i="1"/>
  <c r="O766" i="1"/>
  <c r="O766" i="1" a="1"/>
  <c r="N766" i="1"/>
  <c r="M766" i="1"/>
  <c r="O765" i="1" a="1"/>
  <c r="O765" i="1" s="1"/>
  <c r="N765" i="1"/>
  <c r="M765" i="1"/>
  <c r="O764" i="1" a="1"/>
  <c r="O764" i="1" s="1"/>
  <c r="N764" i="1"/>
  <c r="M764" i="1"/>
  <c r="O763" i="1" a="1"/>
  <c r="O763" i="1" s="1"/>
  <c r="N763" i="1"/>
  <c r="M763" i="1"/>
  <c r="O762" i="1" a="1"/>
  <c r="O762" i="1" s="1"/>
  <c r="N762" i="1"/>
  <c r="M762" i="1"/>
  <c r="O761" i="1" a="1"/>
  <c r="O761" i="1" s="1"/>
  <c r="N761" i="1"/>
  <c r="M761" i="1"/>
  <c r="O760" i="1" a="1"/>
  <c r="O760" i="1" s="1"/>
  <c r="N760" i="1"/>
  <c r="M760" i="1"/>
  <c r="O759" i="1" a="1"/>
  <c r="O759" i="1" s="1"/>
  <c r="N759" i="1"/>
  <c r="M759" i="1"/>
  <c r="O758" i="1" a="1"/>
  <c r="O758" i="1" s="1"/>
  <c r="N758" i="1"/>
  <c r="M758" i="1"/>
  <c r="O757" i="1" a="1"/>
  <c r="O757" i="1" s="1"/>
  <c r="N757" i="1"/>
  <c r="M757" i="1"/>
  <c r="O756" i="1" a="1"/>
  <c r="O756" i="1" s="1"/>
  <c r="N756" i="1"/>
  <c r="M756" i="1"/>
  <c r="O755" i="1" a="1"/>
  <c r="O755" i="1" s="1"/>
  <c r="N755" i="1"/>
  <c r="M755" i="1"/>
  <c r="O754" i="1" a="1"/>
  <c r="O754" i="1" s="1"/>
  <c r="N754" i="1"/>
  <c r="M754" i="1"/>
  <c r="O753" i="1" a="1"/>
  <c r="O753" i="1" s="1"/>
  <c r="N753" i="1"/>
  <c r="M753" i="1"/>
  <c r="O752" i="1" a="1"/>
  <c r="O752" i="1" s="1"/>
  <c r="N752" i="1"/>
  <c r="M752" i="1"/>
  <c r="O751" i="1" a="1"/>
  <c r="O751" i="1" s="1"/>
  <c r="N751" i="1"/>
  <c r="M751" i="1"/>
  <c r="O750" i="1" a="1"/>
  <c r="O750" i="1" s="1"/>
  <c r="N750" i="1"/>
  <c r="M750" i="1"/>
  <c r="O749" i="1" a="1"/>
  <c r="O749" i="1" s="1"/>
  <c r="N749" i="1"/>
  <c r="M749" i="1"/>
  <c r="O748" i="1" a="1"/>
  <c r="O748" i="1" s="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a="1"/>
  <c r="O741" i="1" s="1"/>
  <c r="N741" i="1"/>
  <c r="M741" i="1"/>
  <c r="O740" i="1" a="1"/>
  <c r="O740" i="1" s="1"/>
  <c r="N740" i="1"/>
  <c r="M740" i="1"/>
  <c r="O739" i="1" a="1"/>
  <c r="O739" i="1" s="1"/>
  <c r="N739" i="1"/>
  <c r="M739" i="1"/>
  <c r="O738" i="1" a="1"/>
  <c r="O738" i="1" s="1"/>
  <c r="N738" i="1"/>
  <c r="M738" i="1"/>
  <c r="O737" i="1" a="1"/>
  <c r="O737" i="1" s="1"/>
  <c r="N737" i="1"/>
  <c r="M737" i="1"/>
  <c r="O736" i="1" a="1"/>
  <c r="O736" i="1" s="1"/>
  <c r="N736" i="1"/>
  <c r="M736" i="1"/>
  <c r="O735" i="1" a="1"/>
  <c r="O735" i="1" s="1"/>
  <c r="N735" i="1"/>
  <c r="M735" i="1"/>
  <c r="O734" i="1" a="1"/>
  <c r="O734" i="1" s="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a="1"/>
  <c r="O727" i="1" s="1"/>
  <c r="N727" i="1"/>
  <c r="M727" i="1"/>
  <c r="O726" i="1" a="1"/>
  <c r="O726" i="1" s="1"/>
  <c r="N726" i="1"/>
  <c r="M726" i="1"/>
  <c r="O725" i="1" a="1"/>
  <c r="O725" i="1" s="1"/>
  <c r="N725" i="1"/>
  <c r="M725" i="1"/>
  <c r="O724" i="1" a="1"/>
  <c r="O724" i="1" s="1"/>
  <c r="N724" i="1"/>
  <c r="M724" i="1"/>
  <c r="O723" i="1" a="1"/>
  <c r="O723" i="1" s="1"/>
  <c r="N723" i="1"/>
  <c r="M723" i="1"/>
  <c r="O722" i="1" a="1"/>
  <c r="O722" i="1" s="1"/>
  <c r="N722" i="1"/>
  <c r="M722" i="1"/>
  <c r="O721" i="1" a="1"/>
  <c r="O721" i="1" s="1"/>
  <c r="N721" i="1"/>
  <c r="M721" i="1"/>
  <c r="O720" i="1" a="1"/>
  <c r="O720" i="1" s="1"/>
  <c r="N720" i="1"/>
  <c r="M720" i="1"/>
  <c r="O719" i="1" a="1"/>
  <c r="O719" i="1" s="1"/>
  <c r="N719" i="1"/>
  <c r="M719" i="1"/>
  <c r="O718" i="1" a="1"/>
  <c r="O718" i="1" s="1"/>
  <c r="N718" i="1"/>
  <c r="M718" i="1"/>
  <c r="O717" i="1" a="1"/>
  <c r="O717" i="1" s="1"/>
  <c r="N717" i="1"/>
  <c r="M717" i="1"/>
  <c r="O716" i="1" a="1"/>
  <c r="O716" i="1" s="1"/>
  <c r="N716" i="1"/>
  <c r="M716" i="1"/>
  <c r="O715" i="1" a="1"/>
  <c r="O715" i="1" s="1"/>
  <c r="N715" i="1"/>
  <c r="M715" i="1"/>
  <c r="O714" i="1" a="1"/>
  <c r="O714" i="1" s="1"/>
  <c r="N714" i="1"/>
  <c r="M714" i="1"/>
  <c r="O713" i="1" a="1"/>
  <c r="O713" i="1" s="1"/>
  <c r="N713" i="1"/>
  <c r="M713" i="1"/>
  <c r="O712" i="1" a="1"/>
  <c r="O712" i="1" s="1"/>
  <c r="N712" i="1"/>
  <c r="M712" i="1"/>
  <c r="O711" i="1" a="1"/>
  <c r="O711" i="1" s="1"/>
  <c r="N711" i="1"/>
  <c r="M711" i="1"/>
  <c r="O710" i="1" a="1"/>
  <c r="O710" i="1" s="1"/>
  <c r="N710" i="1"/>
  <c r="M710" i="1"/>
  <c r="O709" i="1" a="1"/>
  <c r="O709" i="1" s="1"/>
  <c r="N709" i="1"/>
  <c r="M709" i="1"/>
  <c r="O708" i="1" a="1"/>
  <c r="O708" i="1" s="1"/>
  <c r="N708" i="1"/>
  <c r="M708" i="1"/>
  <c r="O707" i="1" a="1"/>
  <c r="O707" i="1" s="1"/>
  <c r="N707" i="1"/>
  <c r="M707" i="1"/>
  <c r="O706" i="1" a="1"/>
  <c r="O706" i="1" s="1"/>
  <c r="N706" i="1"/>
  <c r="M706" i="1"/>
  <c r="O705" i="1" a="1"/>
  <c r="O705" i="1" s="1"/>
  <c r="N705" i="1"/>
  <c r="M705" i="1"/>
  <c r="O704" i="1" a="1"/>
  <c r="O704" i="1" s="1"/>
  <c r="N704" i="1"/>
  <c r="M704" i="1"/>
  <c r="O703" i="1" a="1"/>
  <c r="O703" i="1" s="1"/>
  <c r="N703" i="1"/>
  <c r="M703" i="1"/>
  <c r="O702" i="1" a="1"/>
  <c r="O702" i="1" s="1"/>
  <c r="N702" i="1"/>
  <c r="M702" i="1"/>
  <c r="O701" i="1" a="1"/>
  <c r="O701" i="1" s="1"/>
  <c r="N701" i="1"/>
  <c r="M701" i="1"/>
  <c r="O700" i="1" a="1"/>
  <c r="O700" i="1" s="1"/>
  <c r="N700" i="1"/>
  <c r="M700" i="1"/>
  <c r="O699" i="1" a="1"/>
  <c r="O699" i="1" s="1"/>
  <c r="N699" i="1"/>
  <c r="M699" i="1"/>
  <c r="O698" i="1" a="1"/>
  <c r="O698" i="1" s="1"/>
  <c r="N698" i="1"/>
  <c r="M698" i="1"/>
  <c r="O697" i="1" a="1"/>
  <c r="O697" i="1" s="1"/>
  <c r="N697" i="1"/>
  <c r="M697" i="1"/>
  <c r="O696" i="1" a="1"/>
  <c r="O696" i="1" s="1"/>
  <c r="N696" i="1"/>
  <c r="M696" i="1"/>
  <c r="O695" i="1" a="1"/>
  <c r="O695" i="1" s="1"/>
  <c r="N695" i="1"/>
  <c r="M695" i="1"/>
  <c r="O694" i="1" a="1"/>
  <c r="O694" i="1" s="1"/>
  <c r="N694" i="1"/>
  <c r="M694" i="1"/>
  <c r="O693" i="1" a="1"/>
  <c r="O693" i="1" s="1"/>
  <c r="N693" i="1"/>
  <c r="M693" i="1"/>
  <c r="O692" i="1" a="1"/>
  <c r="O692" i="1" s="1"/>
  <c r="N692" i="1"/>
  <c r="M692" i="1"/>
  <c r="O691" i="1" a="1"/>
  <c r="O691" i="1" s="1"/>
  <c r="N691" i="1"/>
  <c r="M691" i="1"/>
  <c r="O690" i="1" a="1"/>
  <c r="O690" i="1" s="1"/>
  <c r="N690" i="1"/>
  <c r="M690" i="1"/>
  <c r="O689" i="1" a="1"/>
  <c r="O689" i="1" s="1"/>
  <c r="N689" i="1"/>
  <c r="M689" i="1"/>
  <c r="O688" i="1" a="1"/>
  <c r="O688" i="1" s="1"/>
  <c r="N688" i="1"/>
  <c r="M688" i="1"/>
  <c r="O687" i="1" a="1"/>
  <c r="O687" i="1" s="1"/>
  <c r="N687" i="1"/>
  <c r="M687" i="1"/>
  <c r="O686" i="1" a="1"/>
  <c r="O686" i="1" s="1"/>
  <c r="N686" i="1"/>
  <c r="M686" i="1"/>
  <c r="O685" i="1" a="1"/>
  <c r="O685" i="1" s="1"/>
  <c r="N685" i="1"/>
  <c r="M685" i="1"/>
  <c r="O684" i="1" a="1"/>
  <c r="O684" i="1" s="1"/>
  <c r="N684" i="1"/>
  <c r="M684" i="1"/>
  <c r="O683" i="1" a="1"/>
  <c r="O683" i="1" s="1"/>
  <c r="N683" i="1"/>
  <c r="M683" i="1"/>
  <c r="O682" i="1" a="1"/>
  <c r="O682" i="1" s="1"/>
  <c r="N682" i="1"/>
  <c r="M682" i="1"/>
  <c r="O681" i="1" a="1"/>
  <c r="O681" i="1" s="1"/>
  <c r="N681" i="1"/>
  <c r="M681" i="1"/>
  <c r="O680" i="1" a="1"/>
  <c r="O680" i="1" s="1"/>
  <c r="N680" i="1"/>
  <c r="M680" i="1"/>
  <c r="O679" i="1" a="1"/>
  <c r="O679" i="1" s="1"/>
  <c r="N679" i="1"/>
  <c r="M679" i="1"/>
  <c r="O678" i="1" a="1"/>
  <c r="O678" i="1" s="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a="1"/>
  <c r="O671" i="1" s="1"/>
  <c r="N671" i="1"/>
  <c r="M671" i="1"/>
  <c r="O670" i="1" a="1"/>
  <c r="O670" i="1" s="1"/>
  <c r="N670" i="1"/>
  <c r="M670" i="1"/>
  <c r="O669" i="1" a="1"/>
  <c r="O669" i="1" s="1"/>
  <c r="N669" i="1"/>
  <c r="M669" i="1"/>
  <c r="O668" i="1" a="1"/>
  <c r="O668" i="1" s="1"/>
  <c r="N668" i="1"/>
  <c r="M668" i="1"/>
  <c r="O667" i="1" a="1"/>
  <c r="O667" i="1" s="1"/>
  <c r="N667" i="1"/>
  <c r="M667" i="1"/>
  <c r="O666" i="1" a="1"/>
  <c r="O666" i="1" s="1"/>
  <c r="N666" i="1"/>
  <c r="M666" i="1"/>
  <c r="O665" i="1" a="1"/>
  <c r="O665" i="1" s="1"/>
  <c r="N665" i="1"/>
  <c r="M665" i="1"/>
  <c r="O664" i="1" a="1"/>
  <c r="O664" i="1" s="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a="1"/>
  <c r="O658" i="1" s="1"/>
  <c r="N658" i="1"/>
  <c r="M658" i="1"/>
  <c r="O657" i="1" a="1"/>
  <c r="O657" i="1" s="1"/>
  <c r="N657" i="1"/>
  <c r="M657" i="1"/>
  <c r="O656" i="1" a="1"/>
  <c r="O656" i="1" s="1"/>
  <c r="N656" i="1"/>
  <c r="M656" i="1"/>
  <c r="O655" i="1" a="1"/>
  <c r="O655" i="1" s="1"/>
  <c r="N655" i="1"/>
  <c r="M655" i="1"/>
  <c r="O654" i="1" a="1"/>
  <c r="O654" i="1" s="1"/>
  <c r="N654" i="1"/>
  <c r="M654" i="1"/>
  <c r="O653" i="1" a="1"/>
  <c r="O653" i="1" s="1"/>
  <c r="N653" i="1"/>
  <c r="M653" i="1"/>
  <c r="O652" i="1" a="1"/>
  <c r="O652" i="1" s="1"/>
  <c r="N652" i="1"/>
  <c r="M652" i="1"/>
  <c r="O651" i="1" a="1"/>
  <c r="O651" i="1" s="1"/>
  <c r="N651" i="1"/>
  <c r="M651" i="1"/>
  <c r="O650" i="1" a="1"/>
  <c r="O650" i="1" s="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a="1"/>
  <c r="O643" i="1" s="1"/>
  <c r="N643" i="1"/>
  <c r="M643" i="1"/>
  <c r="O642" i="1" a="1"/>
  <c r="O642" i="1" s="1"/>
  <c r="N642" i="1"/>
  <c r="M642" i="1"/>
  <c r="O641" i="1" a="1"/>
  <c r="O641" i="1" s="1"/>
  <c r="N641" i="1"/>
  <c r="M641" i="1"/>
  <c r="O640" i="1" a="1"/>
  <c r="O640" i="1" s="1"/>
  <c r="N640" i="1"/>
  <c r="M640" i="1"/>
  <c r="O639" i="1" a="1"/>
  <c r="O639" i="1" s="1"/>
  <c r="N639" i="1"/>
  <c r="M639" i="1"/>
  <c r="O638" i="1" a="1"/>
  <c r="O638" i="1" s="1"/>
  <c r="N638" i="1"/>
  <c r="M638" i="1"/>
  <c r="O637" i="1" a="1"/>
  <c r="O637" i="1" s="1"/>
  <c r="N637" i="1"/>
  <c r="M637" i="1"/>
  <c r="O636" i="1" a="1"/>
  <c r="O636" i="1" s="1"/>
  <c r="N636" i="1"/>
  <c r="M636" i="1"/>
  <c r="O635" i="1" a="1"/>
  <c r="O635" i="1" s="1"/>
  <c r="N635" i="1"/>
  <c r="M635" i="1"/>
  <c r="O634" i="1" a="1"/>
  <c r="O634" i="1" s="1"/>
  <c r="N634" i="1"/>
  <c r="M634" i="1"/>
  <c r="O633" i="1" a="1"/>
  <c r="O633" i="1" s="1"/>
  <c r="N633" i="1"/>
  <c r="M633" i="1"/>
  <c r="O632" i="1" a="1"/>
  <c r="O632" i="1" s="1"/>
  <c r="N632" i="1"/>
  <c r="M632" i="1"/>
  <c r="O631" i="1" a="1"/>
  <c r="O631" i="1" s="1"/>
  <c r="N631" i="1"/>
  <c r="M631" i="1"/>
  <c r="O630" i="1" a="1"/>
  <c r="O630" i="1" s="1"/>
  <c r="N630" i="1"/>
  <c r="M630" i="1"/>
  <c r="O629" i="1" a="1"/>
  <c r="O629" i="1" s="1"/>
  <c r="N629" i="1"/>
  <c r="M629" i="1"/>
  <c r="O628" i="1" a="1"/>
  <c r="O628" i="1" s="1"/>
  <c r="N628" i="1"/>
  <c r="M628" i="1"/>
  <c r="O627" i="1" a="1"/>
  <c r="O627" i="1" s="1"/>
  <c r="N627" i="1"/>
  <c r="M627" i="1"/>
  <c r="O626" i="1" a="1"/>
  <c r="O626" i="1" s="1"/>
  <c r="N626" i="1"/>
  <c r="M626" i="1"/>
  <c r="O625" i="1" a="1"/>
  <c r="O625" i="1" s="1"/>
  <c r="N625" i="1"/>
  <c r="M625" i="1"/>
  <c r="O624" i="1" a="1"/>
  <c r="O624" i="1" s="1"/>
  <c r="N624" i="1"/>
  <c r="M624" i="1"/>
  <c r="O623" i="1" a="1"/>
  <c r="O623" i="1" s="1"/>
  <c r="N623" i="1"/>
  <c r="M623" i="1"/>
  <c r="O622" i="1" a="1"/>
  <c r="O622" i="1" s="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a="1"/>
  <c r="O615" i="1" s="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a="1"/>
  <c r="O608" i="1" s="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a="1"/>
  <c r="O601" i="1" s="1"/>
  <c r="N601" i="1"/>
  <c r="M601" i="1"/>
  <c r="O600" i="1" a="1"/>
  <c r="O600" i="1" s="1"/>
  <c r="N600" i="1"/>
  <c r="M600" i="1"/>
  <c r="O599" i="1" a="1"/>
  <c r="O599" i="1" s="1"/>
  <c r="N599" i="1"/>
  <c r="M599" i="1"/>
  <c r="O598" i="1" a="1"/>
  <c r="O598" i="1" s="1"/>
  <c r="N598" i="1"/>
  <c r="M598" i="1"/>
  <c r="O597" i="1" a="1"/>
  <c r="O597" i="1" s="1"/>
  <c r="N597" i="1"/>
  <c r="M597" i="1"/>
  <c r="O596" i="1" a="1"/>
  <c r="O596" i="1" s="1"/>
  <c r="N596" i="1"/>
  <c r="M596" i="1"/>
  <c r="O595" i="1" a="1"/>
  <c r="O595" i="1" s="1"/>
  <c r="N595" i="1"/>
  <c r="M595" i="1"/>
  <c r="O594" i="1" a="1"/>
  <c r="O594" i="1" s="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a="1"/>
  <c r="O587" i="1" s="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a="1"/>
  <c r="O581" i="1" s="1"/>
  <c r="N581" i="1"/>
  <c r="M581" i="1"/>
  <c r="O580" i="1" a="1"/>
  <c r="O580" i="1" s="1"/>
  <c r="N580" i="1"/>
  <c r="M580" i="1"/>
  <c r="O579" i="1" a="1"/>
  <c r="O579" i="1" s="1"/>
  <c r="N579" i="1"/>
  <c r="M579" i="1"/>
  <c r="O578" i="1" a="1"/>
  <c r="O578" i="1" s="1"/>
  <c r="N578" i="1"/>
  <c r="M578" i="1"/>
  <c r="O577" i="1" a="1"/>
  <c r="O577" i="1" s="1"/>
  <c r="N577" i="1"/>
  <c r="M577" i="1"/>
  <c r="O576" i="1" a="1"/>
  <c r="O576" i="1" s="1"/>
  <c r="N576" i="1"/>
  <c r="M576" i="1"/>
  <c r="O575" i="1" a="1"/>
  <c r="O575" i="1" s="1"/>
  <c r="N575" i="1"/>
  <c r="M575" i="1"/>
  <c r="O574" i="1" a="1"/>
  <c r="O574" i="1" s="1"/>
  <c r="N574" i="1"/>
  <c r="M574" i="1"/>
  <c r="O573" i="1" a="1"/>
  <c r="O573" i="1" s="1"/>
  <c r="N573" i="1"/>
  <c r="M573" i="1"/>
  <c r="O572" i="1" a="1"/>
  <c r="O572" i="1" s="1"/>
  <c r="N572" i="1"/>
  <c r="M572" i="1"/>
  <c r="O571" i="1" a="1"/>
  <c r="O571" i="1" s="1"/>
  <c r="N571" i="1"/>
  <c r="M571" i="1"/>
  <c r="O570" i="1" a="1"/>
  <c r="O570" i="1" s="1"/>
  <c r="N570" i="1"/>
  <c r="M570" i="1"/>
  <c r="O569" i="1" a="1"/>
  <c r="O569" i="1" s="1"/>
  <c r="N569" i="1"/>
  <c r="M569" i="1"/>
  <c r="O568" i="1" a="1"/>
  <c r="O568" i="1" s="1"/>
  <c r="N568" i="1"/>
  <c r="M568" i="1"/>
  <c r="O567" i="1" a="1"/>
  <c r="O567" i="1" s="1"/>
  <c r="N567" i="1"/>
  <c r="M567" i="1"/>
  <c r="O566" i="1" a="1"/>
  <c r="O566" i="1" s="1"/>
  <c r="N566" i="1"/>
  <c r="M566" i="1"/>
  <c r="O565" i="1" a="1"/>
  <c r="O565" i="1" s="1"/>
  <c r="N565" i="1"/>
  <c r="M565" i="1"/>
  <c r="O564" i="1" a="1"/>
  <c r="O564" i="1" s="1"/>
  <c r="N564" i="1"/>
  <c r="M564" i="1"/>
  <c r="O563" i="1" a="1"/>
  <c r="O563" i="1" s="1"/>
  <c r="N563" i="1"/>
  <c r="M563" i="1"/>
  <c r="O562" i="1" a="1"/>
  <c r="O562" i="1" s="1"/>
  <c r="N562" i="1"/>
  <c r="M562" i="1"/>
  <c r="O561" i="1" a="1"/>
  <c r="O561" i="1" s="1"/>
  <c r="N561" i="1"/>
  <c r="M561" i="1"/>
  <c r="O560" i="1" a="1"/>
  <c r="O560" i="1" s="1"/>
  <c r="N560" i="1"/>
  <c r="M560" i="1"/>
  <c r="O559" i="1" a="1"/>
  <c r="O559" i="1" s="1"/>
  <c r="N559" i="1"/>
  <c r="M559" i="1"/>
  <c r="O558" i="1" a="1"/>
  <c r="O558" i="1" s="1"/>
  <c r="N558" i="1"/>
  <c r="M558" i="1"/>
  <c r="O557" i="1"/>
  <c r="O557" i="1" a="1"/>
  <c r="N557" i="1"/>
  <c r="M557" i="1"/>
  <c r="O556" i="1" a="1"/>
  <c r="O556" i="1" s="1"/>
  <c r="N556" i="1"/>
  <c r="M556" i="1"/>
  <c r="O555" i="1" a="1"/>
  <c r="O555" i="1" s="1"/>
  <c r="N555" i="1"/>
  <c r="M555" i="1"/>
  <c r="O554" i="1" a="1"/>
  <c r="O554" i="1" s="1"/>
  <c r="N554" i="1"/>
  <c r="M554" i="1"/>
  <c r="O553" i="1" a="1"/>
  <c r="O553" i="1" s="1"/>
  <c r="N553" i="1"/>
  <c r="M553" i="1"/>
  <c r="O552" i="1" a="1"/>
  <c r="O552" i="1" s="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a="1"/>
  <c r="O545" i="1" s="1"/>
  <c r="N545" i="1"/>
  <c r="M545" i="1"/>
  <c r="O544" i="1" a="1"/>
  <c r="O544" i="1" s="1"/>
  <c r="N544" i="1"/>
  <c r="M544" i="1"/>
  <c r="O543" i="1" a="1"/>
  <c r="O543" i="1" s="1"/>
  <c r="N543" i="1"/>
  <c r="M543" i="1"/>
  <c r="O542" i="1" a="1"/>
  <c r="O542" i="1" s="1"/>
  <c r="N542" i="1"/>
  <c r="M542" i="1"/>
  <c r="O541" i="1" a="1"/>
  <c r="O541" i="1" s="1"/>
  <c r="N541" i="1"/>
  <c r="M541" i="1"/>
  <c r="O540" i="1" a="1"/>
  <c r="O540" i="1" s="1"/>
  <c r="N540" i="1"/>
  <c r="M540" i="1"/>
  <c r="O539" i="1" a="1"/>
  <c r="O539" i="1" s="1"/>
  <c r="N539" i="1"/>
  <c r="M539" i="1"/>
  <c r="O538" i="1" a="1"/>
  <c r="O538" i="1" s="1"/>
  <c r="N538" i="1"/>
  <c r="M538" i="1"/>
  <c r="O537" i="1" a="1"/>
  <c r="O537" i="1" s="1"/>
  <c r="N537" i="1"/>
  <c r="M537" i="1"/>
  <c r="O536" i="1" a="1"/>
  <c r="O536" i="1" s="1"/>
  <c r="N536" i="1"/>
  <c r="M536" i="1"/>
  <c r="O535" i="1" a="1"/>
  <c r="O535" i="1" s="1"/>
  <c r="N535" i="1"/>
  <c r="M535" i="1"/>
  <c r="O534" i="1" a="1"/>
  <c r="O534" i="1" s="1"/>
  <c r="N534" i="1"/>
  <c r="M534" i="1"/>
  <c r="O533" i="1" a="1"/>
  <c r="O533" i="1" s="1"/>
  <c r="N533" i="1"/>
  <c r="M533" i="1"/>
  <c r="O532" i="1" a="1"/>
  <c r="O532" i="1" s="1"/>
  <c r="N532" i="1"/>
  <c r="M532" i="1"/>
  <c r="O531" i="1" a="1"/>
  <c r="O531" i="1" s="1"/>
  <c r="N531" i="1"/>
  <c r="M531" i="1"/>
  <c r="O530" i="1" a="1"/>
  <c r="O530" i="1" s="1"/>
  <c r="N530" i="1"/>
  <c r="M530" i="1"/>
  <c r="O529" i="1" a="1"/>
  <c r="O529" i="1" s="1"/>
  <c r="N529" i="1"/>
  <c r="M529" i="1"/>
  <c r="O528" i="1" a="1"/>
  <c r="O528" i="1" s="1"/>
  <c r="N528" i="1"/>
  <c r="M528" i="1"/>
  <c r="O527" i="1" a="1"/>
  <c r="O527" i="1" s="1"/>
  <c r="N527" i="1"/>
  <c r="M527" i="1"/>
  <c r="O526" i="1"/>
  <c r="O526" i="1" a="1"/>
  <c r="N526" i="1"/>
  <c r="M526" i="1"/>
  <c r="O525" i="1" a="1"/>
  <c r="O525" i="1" s="1"/>
  <c r="N525" i="1"/>
  <c r="M525" i="1"/>
  <c r="O524" i="1" a="1"/>
  <c r="O524" i="1" s="1"/>
  <c r="N524" i="1"/>
  <c r="M524" i="1"/>
  <c r="O523" i="1" a="1"/>
  <c r="O523" i="1" s="1"/>
  <c r="N523" i="1"/>
  <c r="M523" i="1"/>
  <c r="O522" i="1" a="1"/>
  <c r="O522" i="1" s="1"/>
  <c r="N522" i="1"/>
  <c r="M522" i="1"/>
  <c r="O521" i="1" a="1"/>
  <c r="O521" i="1" s="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a="1"/>
  <c r="O515" i="1" s="1"/>
  <c r="N515" i="1"/>
  <c r="M515" i="1"/>
  <c r="O514" i="1" a="1"/>
  <c r="O514" i="1" s="1"/>
  <c r="N514" i="1"/>
  <c r="M514" i="1"/>
  <c r="O513" i="1" a="1"/>
  <c r="O513" i="1" s="1"/>
  <c r="N513" i="1"/>
  <c r="M513" i="1"/>
  <c r="O512" i="1" a="1"/>
  <c r="O512" i="1" s="1"/>
  <c r="N512" i="1"/>
  <c r="M512" i="1"/>
  <c r="O511" i="1"/>
  <c r="O511" i="1" a="1"/>
  <c r="N511" i="1"/>
  <c r="M511" i="1"/>
  <c r="O510" i="1" a="1"/>
  <c r="O510" i="1" s="1"/>
  <c r="N510" i="1"/>
  <c r="M510" i="1"/>
  <c r="O509" i="1" a="1"/>
  <c r="O509" i="1" s="1"/>
  <c r="N509" i="1"/>
  <c r="M509" i="1"/>
  <c r="O508" i="1" a="1"/>
  <c r="O508" i="1" s="1"/>
  <c r="N508" i="1"/>
  <c r="M508" i="1"/>
  <c r="O507" i="1" a="1"/>
  <c r="O507" i="1" s="1"/>
  <c r="N507" i="1"/>
  <c r="M507" i="1"/>
  <c r="O506" i="1" a="1"/>
  <c r="O506" i="1" s="1"/>
  <c r="N506" i="1"/>
  <c r="M506" i="1"/>
  <c r="O505" i="1" a="1"/>
  <c r="O505" i="1" s="1"/>
  <c r="N505" i="1"/>
  <c r="M505" i="1"/>
  <c r="O504" i="1" a="1"/>
  <c r="O504" i="1" s="1"/>
  <c r="N504" i="1"/>
  <c r="M504" i="1"/>
  <c r="O503" i="1" a="1"/>
  <c r="O503" i="1" s="1"/>
  <c r="N503" i="1"/>
  <c r="M503" i="1"/>
  <c r="O502" i="1" a="1"/>
  <c r="O502" i="1" s="1"/>
  <c r="N502" i="1"/>
  <c r="M502" i="1"/>
  <c r="O501" i="1" a="1"/>
  <c r="O501" i="1" s="1"/>
  <c r="N501" i="1"/>
  <c r="M501" i="1"/>
  <c r="O500" i="1" a="1"/>
  <c r="O500" i="1" s="1"/>
  <c r="N500" i="1"/>
  <c r="M500" i="1"/>
  <c r="O499" i="1" a="1"/>
  <c r="O499" i="1" s="1"/>
  <c r="N499" i="1"/>
  <c r="M499" i="1"/>
  <c r="O498" i="1" a="1"/>
  <c r="O498" i="1" s="1"/>
  <c r="N498" i="1"/>
  <c r="M498" i="1"/>
  <c r="O497" i="1" a="1"/>
  <c r="O497" i="1" s="1"/>
  <c r="N497" i="1"/>
  <c r="M497" i="1"/>
  <c r="O496" i="1"/>
  <c r="O496" i="1" a="1"/>
  <c r="N496" i="1"/>
  <c r="M496" i="1"/>
  <c r="O495" i="1" a="1"/>
  <c r="O495" i="1" s="1"/>
  <c r="N495" i="1"/>
  <c r="M495" i="1"/>
  <c r="O494" i="1"/>
  <c r="O494" i="1" a="1"/>
  <c r="N494" i="1"/>
  <c r="M494" i="1"/>
  <c r="O493" i="1" a="1"/>
  <c r="O493" i="1" s="1"/>
  <c r="N493" i="1"/>
  <c r="M493" i="1"/>
  <c r="O492" i="1" a="1"/>
  <c r="O492" i="1" s="1"/>
  <c r="N492" i="1"/>
  <c r="M492" i="1"/>
  <c r="O491" i="1" a="1"/>
  <c r="O491" i="1" s="1"/>
  <c r="N491" i="1"/>
  <c r="M491" i="1"/>
  <c r="O490" i="1" a="1"/>
  <c r="O490" i="1" s="1"/>
  <c r="N490" i="1"/>
  <c r="M490" i="1"/>
  <c r="O489" i="1"/>
  <c r="O489" i="1" a="1"/>
  <c r="N489" i="1"/>
  <c r="M489" i="1"/>
  <c r="O488" i="1" a="1"/>
  <c r="O488" i="1" s="1"/>
  <c r="N488" i="1"/>
  <c r="M488" i="1"/>
  <c r="O487" i="1" a="1"/>
  <c r="O487" i="1" s="1"/>
  <c r="N487" i="1"/>
  <c r="M487" i="1"/>
  <c r="O486" i="1" a="1"/>
  <c r="O486" i="1" s="1"/>
  <c r="N486" i="1"/>
  <c r="M486" i="1"/>
  <c r="O485" i="1" a="1"/>
  <c r="O485" i="1" s="1"/>
  <c r="N485" i="1"/>
  <c r="M485" i="1"/>
  <c r="O484" i="1" a="1"/>
  <c r="O484" i="1" s="1"/>
  <c r="N484" i="1"/>
  <c r="M484" i="1"/>
  <c r="O483" i="1" a="1"/>
  <c r="O483" i="1" s="1"/>
  <c r="N483" i="1"/>
  <c r="M483" i="1"/>
  <c r="O482" i="1" a="1"/>
  <c r="O482" i="1" s="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a="1"/>
  <c r="O476" i="1" s="1"/>
  <c r="N476" i="1"/>
  <c r="M476" i="1"/>
  <c r="O475" i="1"/>
  <c r="O475" i="1" a="1"/>
  <c r="N475" i="1"/>
  <c r="M475" i="1"/>
  <c r="O474" i="1" a="1"/>
  <c r="O474" i="1" s="1"/>
  <c r="N474" i="1"/>
  <c r="M474" i="1"/>
  <c r="O473" i="1" a="1"/>
  <c r="O473" i="1" s="1"/>
  <c r="N473" i="1"/>
  <c r="M473" i="1"/>
  <c r="O472" i="1"/>
  <c r="O472" i="1" a="1"/>
  <c r="N472" i="1"/>
  <c r="M472" i="1"/>
  <c r="O471" i="1" a="1"/>
  <c r="O471" i="1" s="1"/>
  <c r="N471" i="1"/>
  <c r="M471" i="1"/>
  <c r="O470" i="1" a="1"/>
  <c r="O470" i="1" s="1"/>
  <c r="N470" i="1"/>
  <c r="M470" i="1"/>
  <c r="O469" i="1" a="1"/>
  <c r="O469" i="1" s="1"/>
  <c r="N469" i="1"/>
  <c r="M469" i="1"/>
  <c r="O468" i="1" a="1"/>
  <c r="O468" i="1" s="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a="1"/>
  <c r="O461" i="1" s="1"/>
  <c r="N461" i="1"/>
  <c r="M461" i="1"/>
  <c r="O460" i="1" a="1"/>
  <c r="O460" i="1" s="1"/>
  <c r="N460" i="1"/>
  <c r="M460" i="1"/>
  <c r="O459" i="1" a="1"/>
  <c r="O459" i="1" s="1"/>
  <c r="N459" i="1"/>
  <c r="M459" i="1"/>
  <c r="O458" i="1" a="1"/>
  <c r="O458" i="1" s="1"/>
  <c r="N458" i="1"/>
  <c r="M458" i="1"/>
  <c r="O457" i="1" a="1"/>
  <c r="O457" i="1" s="1"/>
  <c r="N457" i="1"/>
  <c r="M457" i="1"/>
  <c r="O456" i="1" a="1"/>
  <c r="O456" i="1" s="1"/>
  <c r="N456" i="1"/>
  <c r="M456" i="1"/>
  <c r="O455" i="1" a="1"/>
  <c r="O455" i="1" s="1"/>
  <c r="N455" i="1"/>
  <c r="M455" i="1"/>
  <c r="O454" i="1" a="1"/>
  <c r="O454" i="1" s="1"/>
  <c r="N454" i="1"/>
  <c r="M454" i="1"/>
  <c r="O453" i="1" a="1"/>
  <c r="O453" i="1" s="1"/>
  <c r="N453" i="1"/>
  <c r="M453" i="1"/>
  <c r="O452" i="1" a="1"/>
  <c r="O452" i="1" s="1"/>
  <c r="N452" i="1"/>
  <c r="M452" i="1"/>
  <c r="O451" i="1" a="1"/>
  <c r="O451" i="1" s="1"/>
  <c r="N451" i="1"/>
  <c r="M451" i="1"/>
  <c r="O450" i="1" a="1"/>
  <c r="O450" i="1" s="1"/>
  <c r="N450" i="1"/>
  <c r="M450" i="1"/>
  <c r="O449" i="1" a="1"/>
  <c r="O449" i="1" s="1"/>
  <c r="N449" i="1"/>
  <c r="M449" i="1"/>
  <c r="O448" i="1" a="1"/>
  <c r="O448" i="1" s="1"/>
  <c r="N448" i="1"/>
  <c r="M448" i="1"/>
  <c r="O447" i="1" a="1"/>
  <c r="O447" i="1" s="1"/>
  <c r="N447" i="1"/>
  <c r="M447" i="1"/>
  <c r="O446" i="1" a="1"/>
  <c r="O446" i="1" s="1"/>
  <c r="N446" i="1"/>
  <c r="M446" i="1"/>
  <c r="O445" i="1" a="1"/>
  <c r="O445" i="1" s="1"/>
  <c r="N445" i="1"/>
  <c r="M445" i="1"/>
  <c r="O444" i="1" a="1"/>
  <c r="O444" i="1" s="1"/>
  <c r="N444" i="1"/>
  <c r="M444" i="1"/>
  <c r="O443" i="1" a="1"/>
  <c r="O443" i="1" s="1"/>
  <c r="N443" i="1"/>
  <c r="M443" i="1"/>
  <c r="O442" i="1" a="1"/>
  <c r="O442" i="1" s="1"/>
  <c r="N442" i="1"/>
  <c r="M442" i="1"/>
  <c r="O441" i="1" a="1"/>
  <c r="O441" i="1" s="1"/>
  <c r="N441" i="1"/>
  <c r="M441" i="1"/>
  <c r="O440" i="1" a="1"/>
  <c r="O440" i="1" s="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a="1"/>
  <c r="O431" i="1" s="1"/>
  <c r="N431" i="1"/>
  <c r="M431" i="1"/>
  <c r="O430" i="1" a="1"/>
  <c r="O430" i="1" s="1"/>
  <c r="N430" i="1"/>
  <c r="M430" i="1"/>
  <c r="O429" i="1" a="1"/>
  <c r="O429" i="1" s="1"/>
  <c r="N429" i="1"/>
  <c r="M429" i="1"/>
  <c r="O428" i="1"/>
  <c r="O428" i="1" a="1"/>
  <c r="N428" i="1"/>
  <c r="M428" i="1"/>
  <c r="O427" i="1" a="1"/>
  <c r="O427" i="1" s="1"/>
  <c r="N427" i="1"/>
  <c r="M427" i="1"/>
  <c r="O426" i="1" a="1"/>
  <c r="O426" i="1" s="1"/>
  <c r="N426" i="1"/>
  <c r="M426" i="1"/>
  <c r="O425" i="1" a="1"/>
  <c r="O425" i="1" s="1"/>
  <c r="N425" i="1"/>
  <c r="M425" i="1"/>
  <c r="O424" i="1" a="1"/>
  <c r="O424" i="1" s="1"/>
  <c r="N424" i="1"/>
  <c r="M424" i="1"/>
  <c r="O423" i="1"/>
  <c r="O423" i="1" a="1"/>
  <c r="N423" i="1"/>
  <c r="M423" i="1"/>
  <c r="O422" i="1" a="1"/>
  <c r="O422" i="1" s="1"/>
  <c r="N422" i="1"/>
  <c r="M422" i="1"/>
  <c r="O421" i="1" a="1"/>
  <c r="O421" i="1" s="1"/>
  <c r="N421" i="1"/>
  <c r="M421" i="1"/>
  <c r="O420" i="1" a="1"/>
  <c r="O420" i="1" s="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a="1"/>
  <c r="O414" i="1" s="1"/>
  <c r="N414" i="1"/>
  <c r="M414" i="1"/>
  <c r="O413" i="1" a="1"/>
  <c r="O413" i="1" s="1"/>
  <c r="N413" i="1"/>
  <c r="M413" i="1"/>
  <c r="O412" i="1" a="1"/>
  <c r="O412" i="1" s="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a="1"/>
  <c r="O405" i="1" s="1"/>
  <c r="N405" i="1"/>
  <c r="M405" i="1"/>
  <c r="O404" i="1" a="1"/>
  <c r="O404" i="1" s="1"/>
  <c r="N404" i="1"/>
  <c r="M404" i="1"/>
  <c r="O403" i="1" a="1"/>
  <c r="O403" i="1" s="1"/>
  <c r="N403" i="1"/>
  <c r="M403" i="1"/>
  <c r="O402" i="1" a="1"/>
  <c r="O402" i="1" s="1"/>
  <c r="N402" i="1"/>
  <c r="M402" i="1"/>
  <c r="O401" i="1" a="1"/>
  <c r="O401" i="1" s="1"/>
  <c r="N401" i="1"/>
  <c r="M401" i="1"/>
  <c r="O400" i="1" a="1"/>
  <c r="O400" i="1" s="1"/>
  <c r="N400" i="1"/>
  <c r="M400" i="1"/>
  <c r="O399" i="1" a="1"/>
  <c r="O399" i="1" s="1"/>
  <c r="N399" i="1"/>
  <c r="M399" i="1"/>
  <c r="O398" i="1" a="1"/>
  <c r="O398" i="1" s="1"/>
  <c r="N398" i="1"/>
  <c r="M398" i="1"/>
  <c r="O397" i="1" a="1"/>
  <c r="O397" i="1" s="1"/>
  <c r="N397" i="1"/>
  <c r="M397" i="1"/>
  <c r="O396" i="1" a="1"/>
  <c r="O396" i="1" s="1"/>
  <c r="N396" i="1"/>
  <c r="M396" i="1"/>
  <c r="O395" i="1" a="1"/>
  <c r="O395" i="1" s="1"/>
  <c r="N395" i="1"/>
  <c r="M395" i="1"/>
  <c r="O394" i="1" a="1"/>
  <c r="O394" i="1" s="1"/>
  <c r="N394" i="1"/>
  <c r="M394" i="1"/>
  <c r="O393" i="1" a="1"/>
  <c r="O393" i="1" s="1"/>
  <c r="N393" i="1"/>
  <c r="M393" i="1"/>
  <c r="O392" i="1" a="1"/>
  <c r="O392" i="1" s="1"/>
  <c r="N392" i="1"/>
  <c r="M392" i="1"/>
  <c r="O391" i="1" a="1"/>
  <c r="O391" i="1" s="1"/>
  <c r="N391" i="1"/>
  <c r="M391" i="1"/>
  <c r="O390" i="1" a="1"/>
  <c r="O390" i="1" s="1"/>
  <c r="N390" i="1"/>
  <c r="M390" i="1"/>
  <c r="O389" i="1" a="1"/>
  <c r="O389" i="1" s="1"/>
  <c r="N389" i="1"/>
  <c r="M389" i="1"/>
  <c r="O388" i="1" a="1"/>
  <c r="O388" i="1" s="1"/>
  <c r="N388" i="1"/>
  <c r="M388" i="1"/>
  <c r="O387" i="1" a="1"/>
  <c r="O387" i="1" s="1"/>
  <c r="N387" i="1"/>
  <c r="M387" i="1"/>
  <c r="O386" i="1" a="1"/>
  <c r="O386" i="1" s="1"/>
  <c r="N386" i="1"/>
  <c r="M386" i="1"/>
  <c r="O385" i="1" a="1"/>
  <c r="O385" i="1" s="1"/>
  <c r="N385" i="1"/>
  <c r="M385" i="1"/>
  <c r="O384" i="1" a="1"/>
  <c r="O384" i="1" s="1"/>
  <c r="N384" i="1"/>
  <c r="M384" i="1"/>
  <c r="O383" i="1" a="1"/>
  <c r="O383" i="1" s="1"/>
  <c r="N383" i="1"/>
  <c r="M383" i="1"/>
  <c r="O382" i="1" a="1"/>
  <c r="O382" i="1" s="1"/>
  <c r="N382" i="1"/>
  <c r="M382" i="1"/>
  <c r="O381" i="1" a="1"/>
  <c r="O381" i="1" s="1"/>
  <c r="N381" i="1"/>
  <c r="M381" i="1"/>
  <c r="O380" i="1" a="1"/>
  <c r="O380" i="1" s="1"/>
  <c r="N380" i="1"/>
  <c r="M380" i="1"/>
  <c r="O379" i="1" a="1"/>
  <c r="O379" i="1" s="1"/>
  <c r="N379" i="1"/>
  <c r="M379" i="1"/>
  <c r="O378" i="1" a="1"/>
  <c r="O378" i="1" s="1"/>
  <c r="N378" i="1"/>
  <c r="M378" i="1"/>
  <c r="O377" i="1" a="1"/>
  <c r="O377" i="1" s="1"/>
  <c r="N377" i="1"/>
  <c r="M377" i="1"/>
  <c r="O376" i="1" a="1"/>
  <c r="O376" i="1" s="1"/>
  <c r="N376" i="1"/>
  <c r="M376" i="1"/>
  <c r="O375" i="1" a="1"/>
  <c r="O375" i="1" s="1"/>
  <c r="N375" i="1"/>
  <c r="M375" i="1"/>
  <c r="O374" i="1" a="1"/>
  <c r="O374" i="1" s="1"/>
  <c r="N374" i="1"/>
  <c r="M374" i="1"/>
  <c r="O373" i="1" a="1"/>
  <c r="O373" i="1" s="1"/>
  <c r="N373" i="1"/>
  <c r="M373" i="1"/>
  <c r="O372" i="1" a="1"/>
  <c r="O372" i="1" s="1"/>
  <c r="N372" i="1"/>
  <c r="M372" i="1"/>
  <c r="O371" i="1" a="1"/>
  <c r="O371" i="1" s="1"/>
  <c r="N371" i="1"/>
  <c r="M371" i="1"/>
  <c r="O370" i="1" a="1"/>
  <c r="O370" i="1" s="1"/>
  <c r="N370" i="1"/>
  <c r="M370" i="1"/>
  <c r="O369" i="1" a="1"/>
  <c r="O369" i="1" s="1"/>
  <c r="N369" i="1"/>
  <c r="M369" i="1"/>
  <c r="O368" i="1" a="1"/>
  <c r="O368" i="1" s="1"/>
  <c r="N368" i="1"/>
  <c r="M368" i="1"/>
  <c r="O367" i="1" a="1"/>
  <c r="O367" i="1" s="1"/>
  <c r="N367" i="1"/>
  <c r="M367" i="1"/>
  <c r="O366" i="1" a="1"/>
  <c r="O366" i="1" s="1"/>
  <c r="N366" i="1"/>
  <c r="M366" i="1"/>
  <c r="O365" i="1" a="1"/>
  <c r="O365" i="1" s="1"/>
  <c r="N365" i="1"/>
  <c r="M365" i="1"/>
  <c r="O364" i="1" a="1"/>
  <c r="O364" i="1" s="1"/>
  <c r="N364" i="1"/>
  <c r="M364" i="1"/>
  <c r="O363" i="1" a="1"/>
  <c r="O363" i="1" s="1"/>
  <c r="N363" i="1"/>
  <c r="M363" i="1"/>
  <c r="O362" i="1" a="1"/>
  <c r="O362" i="1" s="1"/>
  <c r="N362" i="1"/>
  <c r="M362" i="1"/>
  <c r="O361" i="1" a="1"/>
  <c r="O361" i="1" s="1"/>
  <c r="N361" i="1"/>
  <c r="M361" i="1"/>
  <c r="O360" i="1" a="1"/>
  <c r="O360" i="1" s="1"/>
  <c r="N360" i="1"/>
  <c r="M360" i="1"/>
  <c r="O359" i="1" a="1"/>
  <c r="O359" i="1" s="1"/>
  <c r="N359" i="1"/>
  <c r="M359" i="1"/>
  <c r="O358" i="1" a="1"/>
  <c r="O358" i="1" s="1"/>
  <c r="N358" i="1"/>
  <c r="M358" i="1"/>
  <c r="O357" i="1" a="1"/>
  <c r="O357" i="1" s="1"/>
  <c r="N357" i="1"/>
  <c r="M357" i="1"/>
  <c r="O356" i="1" a="1"/>
  <c r="O356" i="1" s="1"/>
  <c r="N356" i="1"/>
  <c r="M356" i="1"/>
  <c r="O355" i="1" a="1"/>
  <c r="O355" i="1" s="1"/>
  <c r="N355" i="1"/>
  <c r="M355" i="1"/>
  <c r="O354" i="1" a="1"/>
  <c r="O354" i="1" s="1"/>
  <c r="N354" i="1"/>
  <c r="M354" i="1"/>
  <c r="O353" i="1" a="1"/>
  <c r="O353" i="1" s="1"/>
  <c r="N353" i="1"/>
  <c r="M353" i="1"/>
  <c r="O352" i="1" a="1"/>
  <c r="O352" i="1" s="1"/>
  <c r="N352" i="1"/>
  <c r="M352" i="1"/>
  <c r="O351" i="1" a="1"/>
  <c r="O351" i="1" s="1"/>
  <c r="N351" i="1"/>
  <c r="M351" i="1"/>
  <c r="O350" i="1" a="1"/>
  <c r="O350" i="1" s="1"/>
  <c r="N350" i="1"/>
  <c r="M350" i="1"/>
  <c r="O349" i="1"/>
  <c r="O349" i="1" a="1"/>
  <c r="N349" i="1"/>
  <c r="M349" i="1"/>
  <c r="O348" i="1" a="1"/>
  <c r="O348" i="1" s="1"/>
  <c r="N348" i="1"/>
  <c r="M348" i="1"/>
  <c r="O347" i="1" a="1"/>
  <c r="O347" i="1" s="1"/>
  <c r="N347" i="1"/>
  <c r="M347" i="1"/>
  <c r="O346" i="1" a="1"/>
  <c r="O346" i="1" s="1"/>
  <c r="N346" i="1"/>
  <c r="M346" i="1"/>
  <c r="O345" i="1" a="1"/>
  <c r="O345" i="1" s="1"/>
  <c r="N345" i="1"/>
  <c r="M345" i="1"/>
  <c r="O344" i="1" a="1"/>
  <c r="O344" i="1" s="1"/>
  <c r="N344" i="1"/>
  <c r="M344" i="1"/>
  <c r="O343" i="1" a="1"/>
  <c r="O343" i="1" s="1"/>
  <c r="N343" i="1"/>
  <c r="M343" i="1"/>
  <c r="O342" i="1" a="1"/>
  <c r="O342" i="1" s="1"/>
  <c r="N342" i="1"/>
  <c r="M342" i="1"/>
  <c r="O341" i="1" a="1"/>
  <c r="O341" i="1" s="1"/>
  <c r="N341" i="1"/>
  <c r="M341" i="1"/>
  <c r="O340" i="1" a="1"/>
  <c r="O340" i="1" s="1"/>
  <c r="N340" i="1"/>
  <c r="M340" i="1"/>
  <c r="O339" i="1" a="1"/>
  <c r="O339" i="1" s="1"/>
  <c r="N339" i="1"/>
  <c r="M339" i="1"/>
  <c r="O338" i="1" a="1"/>
  <c r="O338" i="1" s="1"/>
  <c r="N338" i="1"/>
  <c r="M338" i="1"/>
  <c r="O337" i="1" a="1"/>
  <c r="O337" i="1" s="1"/>
  <c r="N337" i="1"/>
  <c r="M337" i="1"/>
  <c r="O336" i="1" a="1"/>
  <c r="O336" i="1" s="1"/>
  <c r="N336" i="1"/>
  <c r="M336" i="1"/>
  <c r="O335" i="1" a="1"/>
  <c r="O335" i="1" s="1"/>
  <c r="N335" i="1"/>
  <c r="M335" i="1"/>
  <c r="O334" i="1" a="1"/>
  <c r="O334" i="1" s="1"/>
  <c r="N334" i="1"/>
  <c r="M334" i="1"/>
  <c r="O333" i="1" a="1"/>
  <c r="O333" i="1" s="1"/>
  <c r="N333" i="1"/>
  <c r="M333" i="1"/>
  <c r="O332" i="1" a="1"/>
  <c r="O332" i="1" s="1"/>
  <c r="N332" i="1"/>
  <c r="M332" i="1"/>
  <c r="O331" i="1" a="1"/>
  <c r="O331" i="1" s="1"/>
  <c r="N331" i="1"/>
  <c r="M331" i="1"/>
  <c r="O330" i="1" a="1"/>
  <c r="O330" i="1" s="1"/>
  <c r="N330" i="1"/>
  <c r="M330" i="1"/>
  <c r="O329" i="1" a="1"/>
  <c r="O329" i="1" s="1"/>
  <c r="N329" i="1"/>
  <c r="M329" i="1"/>
  <c r="O328" i="1" a="1"/>
  <c r="O328" i="1" s="1"/>
  <c r="N328" i="1"/>
  <c r="M328" i="1"/>
  <c r="O327" i="1" a="1"/>
  <c r="O327" i="1" s="1"/>
  <c r="N327" i="1"/>
  <c r="M327" i="1"/>
  <c r="O326" i="1" a="1"/>
  <c r="O326" i="1" s="1"/>
  <c r="N326" i="1"/>
  <c r="M326" i="1"/>
  <c r="O325" i="1" a="1"/>
  <c r="O325" i="1" s="1"/>
  <c r="N325" i="1"/>
  <c r="M325" i="1"/>
  <c r="O324" i="1" a="1"/>
  <c r="O324" i="1" s="1"/>
  <c r="N324" i="1"/>
  <c r="M324" i="1"/>
  <c r="O323" i="1" a="1"/>
  <c r="O323" i="1" s="1"/>
  <c r="N323" i="1"/>
  <c r="M323" i="1"/>
  <c r="O322" i="1" a="1"/>
  <c r="O322" i="1" s="1"/>
  <c r="N322" i="1"/>
  <c r="M322" i="1"/>
  <c r="O321" i="1" a="1"/>
  <c r="O321" i="1" s="1"/>
  <c r="N321" i="1"/>
  <c r="M321" i="1"/>
  <c r="O320" i="1" a="1"/>
  <c r="O320" i="1" s="1"/>
  <c r="N320" i="1"/>
  <c r="M320" i="1"/>
  <c r="O319" i="1" a="1"/>
  <c r="O319" i="1" s="1"/>
  <c r="N319" i="1"/>
  <c r="M319" i="1"/>
  <c r="O318" i="1" a="1"/>
  <c r="O318" i="1" s="1"/>
  <c r="N318" i="1"/>
  <c r="M318" i="1"/>
  <c r="O317" i="1" a="1"/>
  <c r="O317" i="1" s="1"/>
  <c r="N317" i="1"/>
  <c r="M317" i="1"/>
  <c r="O316" i="1" a="1"/>
  <c r="O316" i="1" s="1"/>
  <c r="N316" i="1"/>
  <c r="M316" i="1"/>
  <c r="O315" i="1" a="1"/>
  <c r="O315" i="1" s="1"/>
  <c r="N315" i="1"/>
  <c r="M315" i="1"/>
  <c r="O314" i="1" a="1"/>
  <c r="O314" i="1" s="1"/>
  <c r="N314" i="1"/>
  <c r="M314" i="1"/>
  <c r="O313" i="1" a="1"/>
  <c r="O313" i="1" s="1"/>
  <c r="N313" i="1"/>
  <c r="M313" i="1"/>
  <c r="O312" i="1" a="1"/>
  <c r="O312" i="1" s="1"/>
  <c r="N312" i="1"/>
  <c r="M312" i="1"/>
  <c r="O311" i="1" a="1"/>
  <c r="O311" i="1" s="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a="1"/>
  <c r="O304" i="1" s="1"/>
  <c r="N304" i="1"/>
  <c r="M304" i="1"/>
  <c r="O303" i="1" a="1"/>
  <c r="O303" i="1" s="1"/>
  <c r="N303" i="1"/>
  <c r="M303" i="1"/>
  <c r="O302" i="1" a="1"/>
  <c r="O302" i="1" s="1"/>
  <c r="N302" i="1"/>
  <c r="M302" i="1"/>
  <c r="O301" i="1" a="1"/>
  <c r="O301" i="1" s="1"/>
  <c r="N301" i="1"/>
  <c r="M301" i="1"/>
  <c r="O300" i="1" a="1"/>
  <c r="O300" i="1" s="1"/>
  <c r="N300" i="1"/>
  <c r="M300" i="1"/>
  <c r="O299" i="1" a="1"/>
  <c r="O299" i="1" s="1"/>
  <c r="N299" i="1"/>
  <c r="M299" i="1"/>
  <c r="O298" i="1" a="1"/>
  <c r="O298" i="1" s="1"/>
  <c r="N298" i="1"/>
  <c r="M298" i="1"/>
  <c r="O297" i="1" a="1"/>
  <c r="O297" i="1" s="1"/>
  <c r="N297" i="1"/>
  <c r="M297" i="1"/>
  <c r="O296" i="1" a="1"/>
  <c r="O296" i="1" s="1"/>
  <c r="N296" i="1"/>
  <c r="M296" i="1"/>
  <c r="O295" i="1" a="1"/>
  <c r="O295" i="1" s="1"/>
  <c r="N295" i="1"/>
  <c r="M295" i="1"/>
  <c r="O294" i="1" a="1"/>
  <c r="O294" i="1" s="1"/>
  <c r="N294" i="1"/>
  <c r="M294" i="1"/>
  <c r="O293" i="1" a="1"/>
  <c r="O293" i="1" s="1"/>
  <c r="N293" i="1"/>
  <c r="M293" i="1"/>
  <c r="O292" i="1" a="1"/>
  <c r="O292" i="1" s="1"/>
  <c r="N292" i="1"/>
  <c r="M292" i="1"/>
  <c r="O291" i="1" a="1"/>
  <c r="O291" i="1" s="1"/>
  <c r="N291" i="1"/>
  <c r="M291" i="1"/>
  <c r="O290" i="1"/>
  <c r="O290" i="1" a="1"/>
  <c r="N290" i="1"/>
  <c r="M290" i="1"/>
  <c r="O289" i="1" a="1"/>
  <c r="O289" i="1" s="1"/>
  <c r="N289" i="1"/>
  <c r="M289" i="1"/>
  <c r="O288" i="1" a="1"/>
  <c r="O288" i="1" s="1"/>
  <c r="N288" i="1"/>
  <c r="M288" i="1"/>
  <c r="O287" i="1" a="1"/>
  <c r="O287" i="1" s="1"/>
  <c r="N287" i="1"/>
  <c r="M287" i="1"/>
  <c r="O286" i="1" a="1"/>
  <c r="O286" i="1" s="1"/>
  <c r="N286" i="1"/>
  <c r="M286" i="1"/>
  <c r="O285" i="1" a="1"/>
  <c r="O285" i="1" s="1"/>
  <c r="N285" i="1"/>
  <c r="M285" i="1"/>
  <c r="O284" i="1" a="1"/>
  <c r="O284" i="1" s="1"/>
  <c r="N284" i="1"/>
  <c r="M284" i="1"/>
  <c r="O283" i="1" a="1"/>
  <c r="O283" i="1" s="1"/>
  <c r="N283" i="1"/>
  <c r="M283" i="1"/>
  <c r="O282" i="1" a="1"/>
  <c r="O282" i="1" s="1"/>
  <c r="N282" i="1"/>
  <c r="M282" i="1"/>
  <c r="O281" i="1" a="1"/>
  <c r="O281" i="1" s="1"/>
  <c r="N281" i="1"/>
  <c r="M281" i="1"/>
  <c r="O280" i="1" a="1"/>
  <c r="O280" i="1" s="1"/>
  <c r="N280" i="1"/>
  <c r="M280" i="1"/>
  <c r="O279" i="1" a="1"/>
  <c r="O279" i="1" s="1"/>
  <c r="N279" i="1"/>
  <c r="M279" i="1"/>
  <c r="O278" i="1" a="1"/>
  <c r="O278" i="1" s="1"/>
  <c r="N278" i="1"/>
  <c r="M278" i="1"/>
  <c r="O277" i="1" a="1"/>
  <c r="O277" i="1" s="1"/>
  <c r="N277" i="1"/>
  <c r="M277" i="1"/>
  <c r="O276" i="1" a="1"/>
  <c r="O276" i="1" s="1"/>
  <c r="N276" i="1"/>
  <c r="M276" i="1"/>
  <c r="O275" i="1" a="1"/>
  <c r="O275" i="1" s="1"/>
  <c r="N275" i="1"/>
  <c r="M275" i="1"/>
  <c r="O274" i="1" a="1"/>
  <c r="O274" i="1" s="1"/>
  <c r="N274" i="1"/>
  <c r="M274" i="1"/>
  <c r="O273" i="1" a="1"/>
  <c r="O273" i="1" s="1"/>
  <c r="N273" i="1"/>
  <c r="M273" i="1"/>
  <c r="O272" i="1" a="1"/>
  <c r="O272" i="1" s="1"/>
  <c r="N272" i="1"/>
  <c r="M272" i="1"/>
  <c r="O271" i="1" a="1"/>
  <c r="O271" i="1" s="1"/>
  <c r="N271" i="1"/>
  <c r="M271" i="1"/>
  <c r="O270" i="1" a="1"/>
  <c r="O270" i="1" s="1"/>
  <c r="N270" i="1"/>
  <c r="M270" i="1"/>
  <c r="O269" i="1" a="1"/>
  <c r="O269" i="1" s="1"/>
  <c r="N269" i="1"/>
  <c r="M269" i="1"/>
  <c r="O268" i="1" a="1"/>
  <c r="O268" i="1" s="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a="1"/>
  <c r="O262" i="1" s="1"/>
  <c r="N262" i="1"/>
  <c r="M262" i="1"/>
  <c r="O261" i="1" a="1"/>
  <c r="O261" i="1" s="1"/>
  <c r="N261" i="1"/>
  <c r="M261" i="1"/>
  <c r="O260" i="1" a="1"/>
  <c r="O260" i="1" s="1"/>
  <c r="N260" i="1"/>
  <c r="M260" i="1"/>
  <c r="O259" i="1" a="1"/>
  <c r="O259" i="1" s="1"/>
  <c r="N259" i="1"/>
  <c r="M259" i="1"/>
  <c r="O258" i="1" a="1"/>
  <c r="O258" i="1" s="1"/>
  <c r="N258" i="1"/>
  <c r="M258" i="1"/>
  <c r="O257" i="1" a="1"/>
  <c r="O257" i="1" s="1"/>
  <c r="N257" i="1"/>
  <c r="M257" i="1"/>
  <c r="O256" i="1" a="1"/>
  <c r="O256" i="1" s="1"/>
  <c r="N256" i="1"/>
  <c r="M256" i="1"/>
  <c r="O255" i="1" a="1"/>
  <c r="O255" i="1" s="1"/>
  <c r="N255" i="1"/>
  <c r="M255" i="1"/>
  <c r="O254" i="1" a="1"/>
  <c r="O254" i="1" s="1"/>
  <c r="N254" i="1"/>
  <c r="M254" i="1"/>
  <c r="O253" i="1" a="1"/>
  <c r="O253" i="1" s="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a="1"/>
  <c r="O237" i="1" s="1"/>
  <c r="N237" i="1"/>
  <c r="M237" i="1"/>
  <c r="O236" i="1" a="1"/>
  <c r="O236" i="1" s="1"/>
  <c r="N236" i="1"/>
  <c r="M236" i="1"/>
  <c r="O235" i="1" a="1"/>
  <c r="O235" i="1" s="1"/>
  <c r="N235" i="1"/>
  <c r="M235" i="1"/>
  <c r="O234" i="1" a="1"/>
  <c r="O234" i="1" s="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a="1"/>
  <c r="O220" i="1" s="1"/>
  <c r="N220" i="1"/>
  <c r="M220" i="1"/>
  <c r="O219" i="1" a="1"/>
  <c r="O219" i="1" s="1"/>
  <c r="N219" i="1"/>
  <c r="M219" i="1"/>
  <c r="O218" i="1" a="1"/>
  <c r="O218" i="1" s="1"/>
  <c r="N218" i="1"/>
  <c r="M218" i="1"/>
  <c r="O217" i="1" a="1"/>
  <c r="O217" i="1" s="1"/>
  <c r="N217" i="1"/>
  <c r="M217" i="1"/>
  <c r="O216" i="1" a="1"/>
  <c r="O216" i="1" s="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a="1"/>
  <c r="O205" i="1" s="1"/>
  <c r="N205" i="1"/>
  <c r="M205" i="1"/>
  <c r="O204" i="1" a="1"/>
  <c r="O204" i="1" s="1"/>
  <c r="N204" i="1"/>
  <c r="M204" i="1"/>
  <c r="O203" i="1" a="1"/>
  <c r="O203" i="1" s="1"/>
  <c r="N203" i="1"/>
  <c r="M203" i="1"/>
  <c r="O202" i="1" a="1"/>
  <c r="O202" i="1" s="1"/>
  <c r="N202" i="1"/>
  <c r="M202" i="1"/>
  <c r="O201" i="1" a="1"/>
  <c r="O201" i="1" s="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a="1"/>
  <c r="O195" i="1" s="1"/>
  <c r="N195" i="1"/>
  <c r="M195" i="1"/>
  <c r="O194" i="1" a="1"/>
  <c r="O194" i="1" s="1"/>
  <c r="N194" i="1"/>
  <c r="M194" i="1"/>
  <c r="O193" i="1" a="1"/>
  <c r="O193" i="1" s="1"/>
  <c r="N193" i="1"/>
  <c r="M193" i="1"/>
  <c r="O192" i="1" a="1"/>
  <c r="O192" i="1" s="1"/>
  <c r="N192" i="1"/>
  <c r="M192" i="1"/>
  <c r="O191" i="1" a="1"/>
  <c r="O191" i="1" s="1"/>
  <c r="N191" i="1"/>
  <c r="M191" i="1"/>
  <c r="O190" i="1" a="1"/>
  <c r="O190" i="1" s="1"/>
  <c r="N190" i="1"/>
  <c r="M190" i="1"/>
  <c r="O189" i="1" a="1"/>
  <c r="O189" i="1" s="1"/>
  <c r="N189" i="1"/>
  <c r="M189" i="1"/>
  <c r="O188" i="1" a="1"/>
  <c r="O188" i="1" s="1"/>
  <c r="N188" i="1"/>
  <c r="M188" i="1"/>
  <c r="O187" i="1" a="1"/>
  <c r="O187" i="1" s="1"/>
  <c r="N187" i="1"/>
  <c r="M187" i="1"/>
  <c r="O186" i="1" a="1"/>
  <c r="O186" i="1" s="1"/>
  <c r="N186" i="1"/>
  <c r="M186" i="1"/>
  <c r="O185" i="1" a="1"/>
  <c r="O185" i="1" s="1"/>
  <c r="N185" i="1"/>
  <c r="M185" i="1"/>
  <c r="O184" i="1" a="1"/>
  <c r="O184" i="1" s="1"/>
  <c r="N184" i="1"/>
  <c r="M184" i="1"/>
  <c r="O183" i="1" a="1"/>
  <c r="O183" i="1" s="1"/>
  <c r="N183" i="1"/>
  <c r="M183" i="1"/>
  <c r="O182" i="1" a="1"/>
  <c r="O182" i="1" s="1"/>
  <c r="N182" i="1"/>
  <c r="M182" i="1"/>
  <c r="O181" i="1" a="1"/>
  <c r="O181" i="1" s="1"/>
  <c r="N181" i="1"/>
  <c r="M181" i="1"/>
  <c r="O180" i="1" a="1"/>
  <c r="O180" i="1" s="1"/>
  <c r="N180" i="1"/>
  <c r="M180" i="1"/>
  <c r="O179" i="1" a="1"/>
  <c r="O179" i="1" s="1"/>
  <c r="N179" i="1"/>
  <c r="M179" i="1"/>
  <c r="O178" i="1" a="1"/>
  <c r="O178" i="1" s="1"/>
  <c r="N178" i="1"/>
  <c r="M178" i="1"/>
  <c r="O177" i="1" a="1"/>
  <c r="O177" i="1" s="1"/>
  <c r="N177" i="1"/>
  <c r="M177" i="1"/>
  <c r="O176" i="1" a="1"/>
  <c r="O176" i="1" s="1"/>
  <c r="N176" i="1"/>
  <c r="M176" i="1"/>
  <c r="O175" i="1" a="1"/>
  <c r="O175" i="1" s="1"/>
  <c r="N175" i="1"/>
  <c r="M175" i="1"/>
  <c r="O174" i="1" a="1"/>
  <c r="O174" i="1" s="1"/>
  <c r="N174" i="1"/>
  <c r="M174" i="1"/>
  <c r="O173" i="1" a="1"/>
  <c r="O173" i="1" s="1"/>
  <c r="N173" i="1"/>
  <c r="M173" i="1"/>
  <c r="O172" i="1" a="1"/>
  <c r="O172" i="1" s="1"/>
  <c r="N172" i="1"/>
  <c r="M172" i="1"/>
  <c r="O171" i="1" a="1"/>
  <c r="O171" i="1" s="1"/>
  <c r="N171" i="1"/>
  <c r="M171" i="1"/>
  <c r="O170" i="1" a="1"/>
  <c r="O170" i="1" s="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a="1"/>
  <c r="O162" i="1" s="1"/>
  <c r="N162" i="1"/>
  <c r="M162" i="1"/>
  <c r="O161" i="1" a="1"/>
  <c r="O161" i="1" s="1"/>
  <c r="N161" i="1"/>
  <c r="M161" i="1"/>
  <c r="O160" i="1" a="1"/>
  <c r="O160" i="1" s="1"/>
  <c r="N160" i="1"/>
  <c r="M160" i="1"/>
  <c r="O159" i="1" a="1"/>
  <c r="O159" i="1" s="1"/>
  <c r="N159" i="1"/>
  <c r="M159" i="1"/>
  <c r="O158" i="1" a="1"/>
  <c r="O158" i="1" s="1"/>
  <c r="N158" i="1"/>
  <c r="M158" i="1"/>
  <c r="O157" i="1" a="1"/>
  <c r="O157" i="1" s="1"/>
  <c r="N157" i="1"/>
  <c r="M157" i="1"/>
  <c r="O156" i="1" a="1"/>
  <c r="O156" i="1" s="1"/>
  <c r="N156" i="1"/>
  <c r="M156" i="1"/>
  <c r="O155" i="1" a="1"/>
  <c r="O155" i="1" s="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a="1"/>
  <c r="O142" i="1" s="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a="1"/>
  <c r="O136" i="1" s="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a="1"/>
  <c r="O127" i="1" s="1"/>
  <c r="N127" i="1"/>
  <c r="M127" i="1"/>
  <c r="O126" i="1" a="1"/>
  <c r="O126" i="1" s="1"/>
  <c r="N126" i="1"/>
  <c r="M126" i="1"/>
  <c r="O125" i="1" a="1"/>
  <c r="O125" i="1" s="1"/>
  <c r="N125" i="1"/>
  <c r="M125" i="1"/>
  <c r="O124" i="1" a="1"/>
  <c r="O124" i="1" s="1"/>
  <c r="N124" i="1"/>
  <c r="M124" i="1"/>
  <c r="O123" i="1" a="1"/>
  <c r="O123" i="1" s="1"/>
  <c r="N123" i="1"/>
  <c r="M123" i="1"/>
  <c r="O122" i="1" a="1"/>
  <c r="O122" i="1" s="1"/>
  <c r="N122" i="1"/>
  <c r="M122" i="1"/>
  <c r="O121" i="1" a="1"/>
  <c r="O121" i="1" s="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a="1"/>
  <c r="O107" i="1" s="1"/>
  <c r="N107" i="1"/>
  <c r="M107" i="1"/>
  <c r="O106" i="1" a="1"/>
  <c r="O106" i="1" s="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a="1"/>
  <c r="O97" i="1" s="1"/>
  <c r="N97" i="1"/>
  <c r="M97" i="1"/>
  <c r="O96" i="1" a="1"/>
  <c r="O96" i="1" s="1"/>
  <c r="N96" i="1"/>
  <c r="M96" i="1"/>
  <c r="O95" i="1" a="1"/>
  <c r="O95" i="1" s="1"/>
  <c r="N95" i="1"/>
  <c r="M95" i="1"/>
  <c r="O94" i="1" a="1"/>
  <c r="O94" i="1" s="1"/>
  <c r="N94" i="1"/>
  <c r="M94" i="1"/>
  <c r="O93" i="1" a="1"/>
  <c r="O93" i="1" s="1"/>
  <c r="N93" i="1"/>
  <c r="M93" i="1"/>
  <c r="O92" i="1" a="1"/>
  <c r="O92" i="1" s="1"/>
  <c r="N92" i="1"/>
  <c r="M92" i="1"/>
  <c r="O91" i="1" a="1"/>
  <c r="O91" i="1" s="1"/>
  <c r="N91" i="1"/>
  <c r="M91" i="1"/>
  <c r="O90" i="1" a="1"/>
  <c r="O90" i="1" s="1"/>
  <c r="N90" i="1"/>
  <c r="M90" i="1"/>
  <c r="O89" i="1" a="1"/>
  <c r="O89" i="1" s="1"/>
  <c r="N89" i="1"/>
  <c r="M89" i="1"/>
  <c r="O88" i="1" a="1"/>
  <c r="O88" i="1" s="1"/>
  <c r="N88" i="1"/>
  <c r="M88" i="1"/>
  <c r="O87" i="1" a="1"/>
  <c r="O87" i="1" s="1"/>
  <c r="N87" i="1"/>
  <c r="M87" i="1"/>
  <c r="O86" i="1" a="1"/>
  <c r="O86" i="1" s="1"/>
  <c r="N86" i="1"/>
  <c r="M86" i="1"/>
  <c r="O85" i="1" a="1"/>
  <c r="O85" i="1" s="1"/>
  <c r="N85" i="1"/>
  <c r="M85" i="1"/>
  <c r="O84" i="1" a="1"/>
  <c r="O84" i="1" s="1"/>
  <c r="N84" i="1"/>
  <c r="M84" i="1"/>
  <c r="O83" i="1" a="1"/>
  <c r="O83" i="1" s="1"/>
  <c r="N83" i="1"/>
  <c r="M83" i="1"/>
  <c r="O82" i="1" a="1"/>
  <c r="O82" i="1" s="1"/>
  <c r="N82" i="1"/>
  <c r="M82" i="1"/>
  <c r="O81" i="1" a="1"/>
  <c r="O81" i="1" s="1"/>
  <c r="N81" i="1"/>
  <c r="M81" i="1"/>
  <c r="O80" i="1" a="1"/>
  <c r="O80" i="1" s="1"/>
  <c r="N80" i="1"/>
  <c r="M80" i="1"/>
  <c r="O79" i="1" a="1"/>
  <c r="O79" i="1" s="1"/>
  <c r="N79" i="1"/>
  <c r="M79" i="1"/>
  <c r="O78" i="1" a="1"/>
  <c r="O78" i="1" s="1"/>
  <c r="N78" i="1"/>
  <c r="M78" i="1"/>
  <c r="O77" i="1" a="1"/>
  <c r="O77" i="1" s="1"/>
  <c r="N77" i="1"/>
  <c r="M77" i="1"/>
  <c r="O76" i="1" a="1"/>
  <c r="O76" i="1" s="1"/>
  <c r="N76" i="1"/>
  <c r="M76" i="1"/>
  <c r="O75" i="1" a="1"/>
  <c r="O75" i="1" s="1"/>
  <c r="N75" i="1"/>
  <c r="M75" i="1"/>
  <c r="O74" i="1" a="1"/>
  <c r="O74" i="1" s="1"/>
  <c r="N74" i="1"/>
  <c r="M74" i="1"/>
  <c r="O73" i="1" a="1"/>
  <c r="O73" i="1" s="1"/>
  <c r="N73" i="1"/>
  <c r="M73" i="1"/>
  <c r="O72" i="1" a="1"/>
  <c r="O72" i="1" s="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a="1"/>
  <c r="O64" i="1" s="1"/>
  <c r="N64" i="1"/>
  <c r="M64" i="1"/>
  <c r="O63" i="1" a="1"/>
  <c r="O63" i="1" s="1"/>
  <c r="N63" i="1"/>
  <c r="M63" i="1"/>
  <c r="O62" i="1" a="1"/>
  <c r="O62" i="1" s="1"/>
  <c r="N62" i="1"/>
  <c r="M62" i="1"/>
  <c r="O61" i="1"/>
  <c r="O61" i="1" a="1"/>
  <c r="N61" i="1"/>
  <c r="M61" i="1"/>
  <c r="O60" i="1" a="1"/>
  <c r="O60" i="1" s="1"/>
  <c r="N60" i="1"/>
  <c r="M60" i="1"/>
  <c r="O59" i="1" a="1"/>
  <c r="O59" i="1" s="1"/>
  <c r="N59" i="1"/>
  <c r="M59" i="1"/>
  <c r="O58" i="1" a="1"/>
  <c r="O58" i="1" s="1"/>
  <c r="N58" i="1"/>
  <c r="M58" i="1"/>
  <c r="O57" i="1" a="1"/>
  <c r="O57" i="1" s="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a="1"/>
  <c r="O44" i="1" s="1"/>
  <c r="N44" i="1"/>
  <c r="M44" i="1"/>
  <c r="O43" i="1" a="1"/>
  <c r="O43" i="1" s="1"/>
  <c r="N43" i="1"/>
  <c r="M43" i="1"/>
  <c r="O42" i="1" a="1"/>
  <c r="O42" i="1" s="1"/>
  <c r="N42" i="1"/>
  <c r="M42" i="1"/>
  <c r="O41" i="1" a="1"/>
  <c r="O41" i="1" s="1"/>
  <c r="N41" i="1"/>
  <c r="M41" i="1"/>
  <c r="O40" i="1" a="1"/>
  <c r="O40" i="1" s="1"/>
  <c r="N40" i="1"/>
  <c r="M40" i="1"/>
  <c r="O39" i="1" a="1"/>
  <c r="O39" i="1" s="1"/>
  <c r="N39" i="1"/>
  <c r="M39" i="1"/>
  <c r="O38" i="1" a="1"/>
  <c r="O38" i="1" s="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a="1"/>
  <c r="O29" i="1" s="1"/>
  <c r="N29" i="1"/>
  <c r="M29" i="1"/>
  <c r="O28" i="1" a="1"/>
  <c r="O28" i="1" s="1"/>
  <c r="N28" i="1"/>
  <c r="M28" i="1"/>
  <c r="O27" i="1" a="1"/>
  <c r="O27" i="1" s="1"/>
  <c r="N27" i="1"/>
  <c r="M27" i="1"/>
  <c r="O26" i="1" a="1"/>
  <c r="O26" i="1" s="1"/>
  <c r="N26" i="1"/>
  <c r="M26" i="1"/>
  <c r="O25" i="1" a="1"/>
  <c r="O25" i="1" s="1"/>
  <c r="N25" i="1"/>
  <c r="M25" i="1"/>
  <c r="O24" i="1" a="1"/>
  <c r="O24" i="1" s="1"/>
  <c r="N24" i="1"/>
  <c r="M24" i="1"/>
  <c r="O23" i="1" a="1"/>
  <c r="O23" i="1" s="1"/>
  <c r="N23" i="1"/>
  <c r="M23" i="1"/>
  <c r="O22" i="1" a="1"/>
  <c r="O22" i="1" s="1"/>
  <c r="N22" i="1"/>
  <c r="M22" i="1"/>
  <c r="O21" i="1" a="1"/>
  <c r="O21" i="1" s="1"/>
  <c r="N21" i="1"/>
  <c r="M21" i="1"/>
  <c r="O20" i="1" a="1"/>
  <c r="O20" i="1" s="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a="1"/>
  <c r="O9" i="1" s="1"/>
  <c r="N9" i="1"/>
  <c r="M9" i="1"/>
  <c r="O8" i="1" a="1"/>
  <c r="O8" i="1" s="1"/>
  <c r="N8" i="1"/>
  <c r="M8" i="1"/>
  <c r="O7" i="1" a="1"/>
  <c r="O7" i="1" s="1"/>
  <c r="N7" i="1"/>
  <c r="M7" i="1"/>
  <c r="O6" i="1" a="1"/>
  <c r="O6" i="1" s="1"/>
  <c r="N6" i="1"/>
  <c r="M6" i="1"/>
  <c r="O5" i="1" a="1"/>
  <c r="O5" i="1" s="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<sst xmlns="http://schemas.openxmlformats.org/spreadsheetml/2006/main" count="14670" uniqueCount="2575">
  <si>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</si>
  <si>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</si>
  <si>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</si>
  <si>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</si>
  <si>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</si>
  <si>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</si>
  <si>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</si>
  <si>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</si>
  <si>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</si>
  <si>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</si>
  <si>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</si>
  <si>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</si>
  <si>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</si>
  <si>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</si>
  <si>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</si>
  <si>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</si>
  <si>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</si>
  <si>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</si>
  <si>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</si>
  <si>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</si>
  <si>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</si>
  <si>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</si>
  <si>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</si>
  <si>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</si>
  <si>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</si>
  <si>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</si>
  <si>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</si>
  <si>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</si>
  <si>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</si>
  <si>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</si>
  <si>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</si>
  <si>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</si>
  <si>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</si>
  <si>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</si>
  <si>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</si>
  <si>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</si>
  <si>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</si>
  <si>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</si>
  <si>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</si>
  <si>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</si>
  <si>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</si>
  <si>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</si>
  <si>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</si>
  <si>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</si>
  <si>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</si>
  <si>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</si>
  <si>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</si>
  <si>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</si>
  <si>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</si>
  <si>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</si>
  <si>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</si>
  <si>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</si>
  <si>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</si>
  <si>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</si>
  <si>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</si>
  <si>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</si>
  <si>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</si>
  <si>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</si>
  <si>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</si>
  <si>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</si>
  <si>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</si>
  <si>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</si>
  <si>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</si>
  <si>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</si>
  <si>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</si>
  <si>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</si>
  <si>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</si>
  <si>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</si>
  <si>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</si>
  <si>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</si>
  <si>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</si>
  <si>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</si>
  <si>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</si>
  <si>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</si>
  <si>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</si>
  <si>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</si>
  <si>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</si>
  <si>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</si>
  <si>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</si>
  <si>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</si>
  <si>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</si>
  <si>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</si>
  <si>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</si>
  <si>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</si>
  <si>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</si>
  <si>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</si>
  <si>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</si>
  <si>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</si>
  <si>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</si>
  <si>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</si>
  <si>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</si>
  <si>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</si>
  <si>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</si>
  <si>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</si>
  <si>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</si>
  <si>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</si>
  <si>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</si>
  <si>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</si>
  <si>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</si>
  <si>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</si>
  <si>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</si>
  <si>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</si>
  <si>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</si>
  <si>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</si>
  <si>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</si>
  <si>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</si>
  <si>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</si>
  <si>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</si>
  <si>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</si>
  <si>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</si>
  <si>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</si>
  <si>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</si>
  <si>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</si>
  <si>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</si>
  <si>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</si>
  <si>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</si>
  <si>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</si>
  <si>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</si>
  <si>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</si>
  <si>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</si>
  <si>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</si>
  <si>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</si>
  <si>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</si>
  <si>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</si>
  <si>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</si>
  <si>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</si>
  <si>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</si>
  <si>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</si>
  <si>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</si>
  <si>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</si>
  <si>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</si>
  <si>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</si>
  <si>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</si>
  <si>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</si>
  <si>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</si>
  <si>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</si>
  <si>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</si>
  <si>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</si>
  <si>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</si>
  <si>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</si>
  <si>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</si>
  <si>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</si>
  <si>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</si>
  <si>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</si>
  <si>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</si>
  <si>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</si>
  <si>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</si>
  <si>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</si>
  <si>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</si>
  <si>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</si>
  <si>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</si>
  <si>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</si>
  <si>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</si>
  <si>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</si>
  <si>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</si>
  <si>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</si>
  <si>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</si>
  <si>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</si>
  <si>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</si>
  <si>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</si>
  <si>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</si>
  <si>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</si>
  <si>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</si>
  <si>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</si>
  <si>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</si>
  <si>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</si>
  <si>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</si>
  <si>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</si>
  <si>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</si>
  <si>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</si>
  <si>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</si>
  <si>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</si>
  <si>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</si>
  <si>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</si>
  <si>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</si>
  <si>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</si>
  <si>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</si>
  <si>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</si>
  <si>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</si>
  <si>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</si>
  <si>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</si>
  <si>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</si>
  <si>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</si>
  <si>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</si>
  <si>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</si>
  <si>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</si>
  <si>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</si>
  <si>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</si>
  <si>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</si>
  <si>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</si>
  <si>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</si>
  <si>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</si>
  <si>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</si>
  <si>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</si>
  <si>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</si>
  <si>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</si>
  <si>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</si>
  <si>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</si>
  <si>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</si>
  <si>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</si>
  <si>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</si>
  <si>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</si>
  <si>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</si>
  <si>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</si>
  <si>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</si>
  <si>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</si>
  <si>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</si>
  <si>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</si>
  <si>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</si>
  <si>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</si>
  <si>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</si>
  <si>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</si>
  <si>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</si>
  <si>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</si>
  <si>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</si>
  <si>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</si>
  <si>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</si>
  <si>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</si>
  <si>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</si>
  <si>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</si>
  <si>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</si>
  <si>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</si>
  <si>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</si>
  <si>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</si>
  <si>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</si>
  <si>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</si>
  <si>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</si>
  <si>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</si>
  <si>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</si>
  <si>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</si>
  <si>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</si>
  <si>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</si>
  <si>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</si>
  <si>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</si>
  <si>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</si>
  <si>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</si>
  <si>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</si>
  <si>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</si>
  <si>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</si>
  <si>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</si>
  <si>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</si>
  <si>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</si>
  <si>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</si>
  <si>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</si>
  <si>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</si>
  <si>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</si>
  <si>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</si>
  <si>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</si>
  <si>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</si>
  <si>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</si>
  <si>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</si>
  <si>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</si>
  <si>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</si>
  <si>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</si>
  <si>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</si>
  <si>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</si>
  <si>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</si>
  <si>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</si>
  <si>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</si>
  <si>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</si>
  <si>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</si>
  <si>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</si>
  <si>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</si>
  <si>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</si>
  <si>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</si>
  <si>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</si>
  <si>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</si>
  <si>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</si>
  <si>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</si>
  <si>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</si>
  <si>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</si>
  <si>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</si>
  <si>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</si>
  <si>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</si>
  <si>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</si>
  <si>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</si>
  <si>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</si>
  <si>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</si>
  <si>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</si>
  <si>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</si>
  <si>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</si>
  <si>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</si>
  <si>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</si>
  <si>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</si>
  <si>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</si>
  <si>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</si>
  <si>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</si>
  <si>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</si>
  <si>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</si>
  <si>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</si>
  <si>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</si>
  <si>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</si>
  <si>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</si>
  <si>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</si>
  <si>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</si>
  <si>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</si>
  <si>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</si>
  <si>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</si>
  <si>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</si>
  <si>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</si>
  <si>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</si>
  <si>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</si>
  <si>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</si>
  <si>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</si>
  <si>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</si>
  <si>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</si>
  <si>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</si>
  <si>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</si>
  <si>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</si>
  <si>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</si>
  <si>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</si>
  <si>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</si>
  <si>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</si>
  <si>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</si>
  <si>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</si>
  <si>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</si>
  <si>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</si>
  <si>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</si>
  <si>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</si>
  <si>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</si>
  <si>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</si>
  <si>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</si>
  <si>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</si>
  <si>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</si>
  <si>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</si>
  <si>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</si>
  <si>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</si>
  <si>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</si>
  <si>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</si>
  <si>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</si>
  <si>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</si>
  <si>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</si>
  <si>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</si>
  <si>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</si>
  <si>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</si>
  <si>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</si>
  <si>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</si>
  <si>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</si>
  <si>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</si>
  <si>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</si>
  <si>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</si>
  <si>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</si>
  <si>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</si>
  <si>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</si>
  <si>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</si>
  <si>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</si>
  <si>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</si>
  <si>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</si>
  <si>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</si>
  <si>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</si>
  <si>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</si>
  <si>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</si>
  <si>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</si>
  <si>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</si>
  <si>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</si>
  <si>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</si>
  <si>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</si>
  <si>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</si>
  <si>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</si>
  <si>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</si>
  <si>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</si>
  <si>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</si>
  <si>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</si>
  <si>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</si>
  <si>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</si>
  <si>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</si>
  <si>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</si>
  <si>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</si>
  <si>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</si>
  <si>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</si>
  <si>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</si>
  <si>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</si>
  <si>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</si>
  <si>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</si>
  <si>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</si>
  <si>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</si>
  <si>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</si>
  <si>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</si>
  <si>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</si>
  <si>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</si>
  <si>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</si>
  <si>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</si>
  <si>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</si>
  <si>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</si>
  <si>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</si>
  <si>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</si>
  <si>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</si>
  <si>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</si>
  <si>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</si>
  <si>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</si>
  <si>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</si>
  <si>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</si>
  <si>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</si>
  <si>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</si>
  <si>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</si>
  <si>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</si>
  <si>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</si>
  <si>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</si>
  <si>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</si>
  <si>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</si>
  <si>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</si>
  <si>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</si>
  <si>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</si>
  <si>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</si>
  <si>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</si>
  <si>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</si>
  <si>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</si>
  <si>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</si>
  <si>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</si>
  <si>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</si>
  <si>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</si>
  <si>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</si>
  <si>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</si>
  <si>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</si>
  <si>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</si>
  <si>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</si>
  <si>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</si>
  <si>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</si>
  <si>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</si>
  <si>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</si>
  <si>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</si>
  <si>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</si>
  <si>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</si>
  <si>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</si>
  <si>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</si>
  <si>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</si>
  <si>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</si>
  <si>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</si>
  <si>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</si>
  <si>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</si>
  <si>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</si>
  <si>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</si>
  <si>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</si>
  <si>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</si>
  <si>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</si>
  <si>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</si>
  <si>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</si>
  <si>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</si>
  <si>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</si>
  <si>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</si>
  <si>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</si>
  <si>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</si>
  <si>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</si>
  <si>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</si>
  <si>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</si>
  <si>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</si>
  <si>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</si>
  <si>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</si>
  <si>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</si>
  <si>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</si>
  <si>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</si>
  <si>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</si>
  <si>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</si>
  <si>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</si>
  <si>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</si>
  <si>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</si>
  <si>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</si>
  <si>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</si>
  <si>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</si>
  <si>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</si>
  <si>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</si>
  <si>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</si>
  <si>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</si>
  <si>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</si>
  <si>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</si>
  <si>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</si>
  <si>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</si>
  <si>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</si>
  <si>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</si>
  <si>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</si>
  <si>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</si>
  <si>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</si>
  <si>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</si>
  <si>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</si>
  <si>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</si>
  <si>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</si>
  <si>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</si>
  <si>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</si>
  <si>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</si>
  <si>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</si>
  <si>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</si>
  <si>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</si>
  <si>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</si>
  <si>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</si>
  <si>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</si>
  <si>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</si>
  <si>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</si>
  <si>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</si>
  <si>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</si>
  <si>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</si>
  <si>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</si>
  <si>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</si>
  <si>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</si>
  <si>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</si>
  <si>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</si>
  <si>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</si>
  <si>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</si>
  <si>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</si>
  <si>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</si>
  <si>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</si>
  <si>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</si>
  <si>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</si>
  <si>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</si>
  <si>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</si>
  <si>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</si>
  <si>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</si>
  <si>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</si>
  <si>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</si>
  <si>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</si>
  <si>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</si>
  <si>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</si>
  <si>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</si>
  <si>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</si>
  <si>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</si>
  <si>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</si>
  <si>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</si>
  <si>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</si>
  <si>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</si>
  <si>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</si>
  <si>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</si>
  <si>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</si>
  <si>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</si>
  <si>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</si>
  <si>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</si>
  <si>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</si>
  <si>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</si>
  <si>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</si>
  <si>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</si>
  <si>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</si>
  <si>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</si>
  <si>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</si>
  <si>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</si>
  <si>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</si>
  <si>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</si>
  <si>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</si>
  <si>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</si>
  <si>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</si>
  <si>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</si>
  <si>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</si>
  <si>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</si>
  <si>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</si>
  <si>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</si>
  <si>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</si>
  <si>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</si>
  <si>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</si>
  <si>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</si>
  <si>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</si>
  <si>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</si>
  <si>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</si>
  <si>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</si>
  <si>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</si>
  <si>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</si>
  <si>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</si>
  <si>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</si>
  <si>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</si>
  <si>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</si>
  <si>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</si>
  <si>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</si>
  <si>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</si>
  <si>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</si>
  <si>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</si>
  <si>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</si>
  <si>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</si>
  <si>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</si>
  <si>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</si>
  <si>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</si>
  <si>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</si>
  <si>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</si>
  <si>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</si>
  <si>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</si>
  <si>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</si>
  <si>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</si>
  <si>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</si>
  <si>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</si>
  <si>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</si>
  <si>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</si>
  <si>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</si>
  <si>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</si>
  <si>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</si>
  <si>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</si>
  <si>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</si>
  <si>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</si>
  <si>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</si>
  <si>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</si>
  <si>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</si>
  <si>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</si>
  <si>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</si>
  <si>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</si>
  <si>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</si>
  <si>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</si>
  <si>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</si>
  <si>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</si>
  <si>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</si>
  <si>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</si>
  <si>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</si>
  <si>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</si>
  <si>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</si>
  <si>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</si>
  <si>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</si>
  <si>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</si>
  <si>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</si>
  <si>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</si>
  <si>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</si>
  <si>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</si>
  <si>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</si>
  <si>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</si>
  <si>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</si>
  <si>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</si>
  <si>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</si>
  <si>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</si>
  <si>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</si>
  <si>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</si>
  <si>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</si>
  <si>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</si>
  <si>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</si>
  <si>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</si>
  <si>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</si>
  <si>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</si>
  <si>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</si>
  <si>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</si>
  <si>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</si>
  <si>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</si>
  <si>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</si>
  <si>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</si>
  <si>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</si>
  <si>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</si>
  <si>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</si>
  <si>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</si>
  <si>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</si>
  <si>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</si>
  <si>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</si>
  <si>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</si>
  <si>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</si>
  <si>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</si>
  <si>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</si>
  <si>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</si>
  <si>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</si>
  <si>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</si>
  <si>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</si>
  <si>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</si>
  <si>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</si>
  <si>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</si>
  <si>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</si>
  <si>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</si>
  <si>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</si>
  <si>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</si>
  <si>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</si>
  <si>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</si>
  <si>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</si>
  <si>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</si>
  <si>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</si>
  <si>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</si>
  <si>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</si>
  <si>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</si>
  <si>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</si>
  <si>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</si>
  <si>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</si>
  <si>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</si>
  <si>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</si>
  <si>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</si>
  <si>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</si>
  <si>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</si>
  <si>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</si>
  <si>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</si>
  <si>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</si>
  <si>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</si>
  <si>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</si>
  <si>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</si>
  <si>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</si>
  <si>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</si>
  <si>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</si>
  <si>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</si>
  <si>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</si>
  <si>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</si>
  <si>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</si>
  <si>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</si>
  <si>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</si>
  <si>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</si>
  <si>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</si>
  <si>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</si>
  <si>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</si>
  <si>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</si>
  <si>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</si>
  <si>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</si>
  <si>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</si>
  <si>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</si>
  <si>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</si>
  <si>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</si>
  <si>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</si>
  <si>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</si>
  <si>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</si>
  <si>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</si>
  <si>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</si>
  <si>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</si>
  <si>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</si>
  <si>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</si>
  <si>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</si>
  <si>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</si>
  <si>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</si>
  <si>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</si>
  <si>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</si>
  <si>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</si>
  <si>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</si>
  <si>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</si>
  <si>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</si>
  <si>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</si>
  <si>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</si>
  <si>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</si>
  <si>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</si>
  <si>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</si>
  <si>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</si>
  <si>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</si>
  <si>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</si>
  <si>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</si>
  <si>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</si>
  <si>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</si>
  <si>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</si>
  <si>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</si>
  <si>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</si>
  <si>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</si>
  <si>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</si>
  <si>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</si>
  <si>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</si>
  <si>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</si>
  <si>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</si>
  <si>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</si>
  <si>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</si>
  <si>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</si>
  <si>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</si>
  <si>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</si>
  <si>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</si>
  <si>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</si>
  <si>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</si>
  <si>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</si>
  <si>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</si>
  <si>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</si>
  <si>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</si>
  <si>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</si>
  <si>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</si>
  <si>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</si>
  <si>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</si>
  <si>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</si>
  <si>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</si>
  <si>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</si>
  <si>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</si>
  <si>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</si>
  <si>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</si>
  <si>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</si>
  <si>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</si>
  <si>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</si>
  <si>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</si>
  <si>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</si>
  <si>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</si>
  <si>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</si>
  <si>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</si>
  <si>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</si>
  <si>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</si>
  <si>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</si>
  <si>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</si>
  <si>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</si>
  <si>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</si>
  <si>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</si>
  <si>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</si>
  <si>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</si>
  <si>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</si>
  <si>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</si>
  <si>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</si>
  <si>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</si>
  <si>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</si>
  <si>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</si>
  <si>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</si>
  <si>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</si>
  <si>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</si>
  <si>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</si>
  <si>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</si>
  <si>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</si>
  <si>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</si>
  <si>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</si>
  <si>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</si>
  <si>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</si>
  <si>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</si>
  <si>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</si>
  <si>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</si>
  <si>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</si>
  <si>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</si>
  <si>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</si>
  <si>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</si>
  <si>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</si>
  <si>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</si>
  <si>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</si>
  <si>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</si>
  <si>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</si>
  <si>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</si>
  <si>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</si>
  <si>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</si>
  <si>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</si>
  <si>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</si>
  <si>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</si>
  <si>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</si>
  <si>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</si>
  <si>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</si>
  <si>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</si>
  <si>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</si>
  <si>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</si>
  <si>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</si>
  <si>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</si>
  <si>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</si>
  <si>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</si>
  <si>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</si>
  <si>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</si>
  <si>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</si>
  <si>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</si>
  <si>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</si>
  <si>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</si>
  <si>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</si>
  <si>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</si>
  <si>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</si>
  <si>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</si>
  <si>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</si>
  <si>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</si>
  <si>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</si>
  <si>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</si>
  <si>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</si>
  <si>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</si>
  <si>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</si>
  <si>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</si>
  <si>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</si>
  <si>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</si>
  <si>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</si>
  <si>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</si>
  <si>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</si>
  <si>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</si>
  <si>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</si>
  <si>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</si>
  <si>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</si>
  <si>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</si>
  <si>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</si>
  <si>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</si>
  <si>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</si>
  <si>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</si>
  <si>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</si>
  <si>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</si>
  <si>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</si>
  <si>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</si>
  <si>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</si>
  <si>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</si>
  <si>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</si>
  <si>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</si>
  <si>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</si>
  <si>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</si>
  <si>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</si>
  <si>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</si>
  <si>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</si>
  <si>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</si>
  <si>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</si>
  <si>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</si>
  <si>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</si>
  <si>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</si>
  <si>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</si>
  <si>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</si>
  <si>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</si>
  <si>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</si>
  <si>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</si>
  <si>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</si>
  <si>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</si>
  <si>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</si>
  <si>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</si>
  <si>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</si>
  <si>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</si>
  <si>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</si>
  <si>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</si>
  <si>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</si>
  <si>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</si>
  <si>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</si>
  <si>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</si>
  <si>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</si>
  <si>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</si>
  <si>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</si>
  <si>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</si>
  <si>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</si>
  <si>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</si>
  <si>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</si>
  <si>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</si>
  <si>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</si>
  <si>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</si>
  <si>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</si>
  <si>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</si>
  <si>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</si>
  <si>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</si>
  <si>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</si>
  <si>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</si>
  <si>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</si>
  <si>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</si>
  <si>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</si>
  <si>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</si>
  <si>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</si>
  <si>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</si>
  <si>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</si>
  <si>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</si>
  <si>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</si>
  <si>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</si>
  <si>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</si>
  <si>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</si>
  <si>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</si>
  <si>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</si>
  <si>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</si>
  <si>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</si>
  <si>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</si>
  <si>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</si>
  <si>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</si>
  <si>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</si>
  <si>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</si>
  <si>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</si>
  <si>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</si>
  <si>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</si>
  <si>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</si>
  <si>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</si>
  <si>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</si>
  <si>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</si>
  <si>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</si>
  <si>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</si>
  <si>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</si>
  <si>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</si>
  <si>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</si>
  <si>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</si>
  <si>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</si>
  <si>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</si>
  <si>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</si>
  <si>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</si>
  <si>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</si>
  <si>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</si>
  <si>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</si>
  <si>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</si>
  <si>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</si>
  <si>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</si>
  <si>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</si>
  <si>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</si>
  <si>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</si>
  <si>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</si>
  <si>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</si>
  <si>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</si>
  <si>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</si>
  <si>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</si>
  <si>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</si>
  <si>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</si>
  <si>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</si>
  <si>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</si>
  <si>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</si>
  <si>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</si>
  <si>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</si>
  <si>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</si>
  <si>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</si>
  <si>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</si>
  <si>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</si>
  <si>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</si>
  <si>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</si>
  <si>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</si>
  <si>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</si>
  <si>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</si>
  <si>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</si>
  <si>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</si>
  <si>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</si>
  <si>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</si>
  <si>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</si>
  <si>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</si>
  <si>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</si>
  <si>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</si>
  <si>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</si>
  <si>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</si>
  <si>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</si>
  <si>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</si>
  <si>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</si>
  <si>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</si>
  <si>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</si>
  <si>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</si>
  <si>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</si>
  <si>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</si>
  <si>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</si>
  <si>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</si>
  <si>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</si>
  <si>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</si>
  <si>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</si>
  <si>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</si>
  <si>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</si>
  <si>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</si>
  <si>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</si>
  <si>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</si>
  <si>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</si>
  <si>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</si>
  <si>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</si>
  <si>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</si>
  <si>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</si>
  <si>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</si>
  <si>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</si>
  <si>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</si>
  <si>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</si>
  <si>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</si>
  <si>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</si>
  <si>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</si>
  <si>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</si>
  <si>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</si>
  <si>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</si>
  <si>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</si>
  <si>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</si>
  <si>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</si>
  <si>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</si>
  <si>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</si>
  <si>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</si>
  <si>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</si>
  <si>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</si>
  <si>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</si>
  <si>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</si>
  <si>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</si>
  <si>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</si>
  <si>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</si>
  <si>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</si>
  <si>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</si>
  <si>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</si>
  <si>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</si>
  <si>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</si>
  <si>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</si>
  <si>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</si>
  <si>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</si>
  <si>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</si>
  <si>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</si>
  <si>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</si>
  <si>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</si>
  <si>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</si>
  <si>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</si>
  <si>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</si>
  <si>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</si>
  <si>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</si>
  <si>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</si>
  <si>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</si>
  <si>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</si>
  <si>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</si>
  <si>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</si>
  <si>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</si>
  <si>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</si>
  <si>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</si>
  <si>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</si>
  <si>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</si>
  <si>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</si>
  <si>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</si>
  <si>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</si>
  <si>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</si>
  <si>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</si>
  <si>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</si>
  <si>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</si>
  <si>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</si>
  <si>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</si>
  <si>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</si>
  <si>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</si>
  <si>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</si>
  <si>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</si>
  <si>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</si>
  <si>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</si>
  <si>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</si>
  <si>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</si>
  <si>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</si>
  <si>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</si>
  <si>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</si>
  <si>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</si>
  <si>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</si>
  <si>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</si>
  <si>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</si>
  <si>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</si>
  <si>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</si>
  <si>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</si>
  <si>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</si>
  <si>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</si>
  <si>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</si>
  <si>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</si>
  <si>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</si>
  <si>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</si>
  <si>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</si>
  <si>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</si>
  <si>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</si>
  <si>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</si>
  <si>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</si>
  <si>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</si>
  <si>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</si>
  <si>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</si>
  <si>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</si>
  <si>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</si>
  <si>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</si>
  <si>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</si>
  <si>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</si>
  <si>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</si>
  <si>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</si>
  <si>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</si>
  <si>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</si>
  <si>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</si>
  <si>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</si>
  <si>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</si>
  <si>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</si>
  <si>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</si>
  <si>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</si>
  <si>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</si>
  <si>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</si>
  <si>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</si>
  <si>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</si>
  <si>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</si>
  <si>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</si>
  <si>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</si>
  <si>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</si>
  <si>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</si>
  <si>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</si>
  <si>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</si>
  <si>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</si>
  <si>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</si>
  <si>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</si>
  <si>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</si>
  <si>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</si>
  <si>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</si>
  <si>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</si>
  <si>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</si>
  <si>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</si>
  <si>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</si>
  <si>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</si>
  <si>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</si>
  <si>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</si>
  <si>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</si>
  <si>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</si>
  <si>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</si>
  <si>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</si>
  <si>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</si>
  <si>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</si>
  <si>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</si>
  <si>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</si>
  <si>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</si>
  <si>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</si>
  <si>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</si>
  <si>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</si>
  <si>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</si>
  <si>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</si>
  <si>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</si>
  <si>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</si>
  <si>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</si>
  <si>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</si>
  <si>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</si>
  <si>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</si>
  <si>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</si>
  <si>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</si>
  <si>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</si>
  <si>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</si>
  <si>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</si>
  <si>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</si>
  <si>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</si>
  <si>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</si>
  <si>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</si>
  <si>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</si>
  <si>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</si>
  <si>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</si>
  <si>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</si>
  <si>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</si>
  <si>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</si>
  <si>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</si>
  <si>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</si>
  <si>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</si>
  <si>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</si>
  <si>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</si>
  <si>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</si>
  <si>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</si>
  <si>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</si>
  <si>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</si>
  <si>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</si>
  <si>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</si>
  <si>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</si>
  <si>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</si>
  <si>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</si>
  <si>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</si>
  <si>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</si>
  <si>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</si>
  <si>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</si>
  <si>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</si>
  <si>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</si>
  <si>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</si>
  <si>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</si>
  <si>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</si>
  <si>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</si>
  <si>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</si>
  <si>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</si>
  <si>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</si>
  <si>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</si>
  <si>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</si>
  <si>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</si>
  <si>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</si>
  <si>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</si>
  <si>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</si>
  <si>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</si>
  <si>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</si>
  <si>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</si>
  <si>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</si>
  <si>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</si>
  <si>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</si>
  <si>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</si>
  <si>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</si>
  <si>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</si>
  <si>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</si>
  <si>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</si>
  <si>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</si>
  <si>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</si>
  <si>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</si>
  <si>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</si>
  <si>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</si>
  <si>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</si>
  <si>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</si>
  <si>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</si>
  <si>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</si>
  <si>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</si>
  <si>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</si>
  <si>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</si>
  <si>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</si>
  <si>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</si>
  <si>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</si>
  <si>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</si>
  <si>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</si>
  <si>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</si>
  <si>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</si>
  <si>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</si>
  <si>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</si>
  <si>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</si>
  <si>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</si>
  <si>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</si>
  <si>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</si>
  <si>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</si>
  <si>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</si>
  <si>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</si>
  <si>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</si>
  <si>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</si>
  <si>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</si>
  <si>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</si>
  <si>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</si>
  <si>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</si>
  <si>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</si>
  <si>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</si>
  <si>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</si>
  <si>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</si>
  <si>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</si>
  <si>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</si>
  <si>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</si>
  <si>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</si>
  <si>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</si>
  <si>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</si>
  <si>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</si>
  <si>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</si>
  <si>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</si>
  <si>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</si>
  <si>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</si>
  <si>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</si>
  <si>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</si>
  <si>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</si>
  <si>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</si>
  <si>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</si>
  <si>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</si>
  <si>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</si>
  <si>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</si>
  <si>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</si>
  <si>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</si>
  <si>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</si>
  <si>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</si>
  <si>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</si>
  <si>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</si>
  <si>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</si>
  <si>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</si>
  <si>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</si>
  <si>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</si>
  <si>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</si>
  <si>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</si>
  <si>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</si>
  <si>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</si>
  <si>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</si>
  <si>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</si>
  <si>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</si>
  <si>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</si>
  <si>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</si>
  <si>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</si>
  <si>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</si>
  <si>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</si>
  <si>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</si>
  <si>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</si>
  <si>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</si>
  <si>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</si>
  <si>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</si>
  <si>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</si>
  <si>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</si>
  <si>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</si>
  <si>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</si>
  <si>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</si>
  <si>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</si>
  <si>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</si>
  <si>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</si>
  <si>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</si>
  <si>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</si>
  <si>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</si>
  <si>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</si>
  <si>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</si>
  <si>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</si>
  <si>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</si>
  <si>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</si>
  <si>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</si>
  <si>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</si>
  <si>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</si>
  <si>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</si>
  <si>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</si>
  <si>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</si>
  <si>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</si>
  <si>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</si>
  <si>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</si>
  <si>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</si>
  <si>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</si>
  <si>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</si>
  <si>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</si>
  <si>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</si>
  <si>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</si>
  <si>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</si>
  <si>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</si>
  <si>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</si>
  <si>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</si>
  <si>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</si>
  <si>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</si>
  <si>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</si>
  <si>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</si>
  <si>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</si>
  <si>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</si>
  <si>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</si>
  <si>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</si>
  <si>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</si>
  <si>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</si>
  <si>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</si>
  <si>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</si>
  <si>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</si>
  <si>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</si>
  <si>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</si>
  <si>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</si>
  <si>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</si>
  <si>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</si>
  <si>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</si>
  <si>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</si>
  <si>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</si>
  <si>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</si>
  <si>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</si>
  <si>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</si>
  <si>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</si>
  <si>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</si>
  <si>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</si>
  <si>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</si>
  <si>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</si>
  <si>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</si>
  <si>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</si>
  <si>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</si>
  <si>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</si>
  <si>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</si>
  <si>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</si>
  <si>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</si>
  <si>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</si>
  <si>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</si>
  <si>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</si>
  <si>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</si>
  <si>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</si>
  <si>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</si>
  <si>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</si>
  <si>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</si>
  <si>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</si>
  <si>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</si>
  <si>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</si>
  <si>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</si>
  <si>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</si>
  <si>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</si>
  <si>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</si>
  <si>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</si>
  <si>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</si>
  <si>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</si>
  <si>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</si>
  <si>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</si>
  <si>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</si>
  <si>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</si>
  <si>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</si>
  <si>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</si>
  <si>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</si>
  <si>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</si>
  <si>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</si>
  <si>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</si>
  <si>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</si>
  <si>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</si>
  <si>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</si>
  <si>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</si>
  <si>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</si>
  <si>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</si>
  <si>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</si>
  <si>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</si>
  <si>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</si>
  <si>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</si>
  <si>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</si>
  <si>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</si>
  <si>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</si>
  <si>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</si>
  <si>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</si>
  <si>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</si>
  <si>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</si>
  <si>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</si>
  <si>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</si>
  <si>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</si>
  <si>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</si>
  <si>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</si>
  <si>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</si>
  <si>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</si>
  <si>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</si>
  <si>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</si>
  <si>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</si>
  <si>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</si>
  <si>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</si>
  <si>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</si>
  <si>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</si>
  <si>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</si>
  <si>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</si>
  <si>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</si>
  <si>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</si>
  <si>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</si>
  <si>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</si>
  <si>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</si>
  <si>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</si>
  <si>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</si>
  <si>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</si>
  <si>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</si>
  <si>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</si>
  <si>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</si>
  <si>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</si>
  <si>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</si>
  <si>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</si>
  <si>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</si>
  <si>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</si>
  <si>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</si>
  <si>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</si>
  <si>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</si>
  <si>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</si>
  <si>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</si>
  <si>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</si>
  <si>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</si>
  <si>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</si>
  <si>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</si>
  <si>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</si>
  <si>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</si>
  <si>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</si>
  <si>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</si>
  <si>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</si>
  <si>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</si>
  <si>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</si>
  <si>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</si>
  <si>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</si>
  <si>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</si>
  <si>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</si>
  <si>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</si>
  <si>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</si>
  <si>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</si>
  <si>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</si>
  <si>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</si>
  <si>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</si>
  <si>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</si>
  <si>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</si>
  <si>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</si>
  <si>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</si>
  <si>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</si>
  <si>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</si>
  <si>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</si>
  <si>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</si>
  <si>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</si>
  <si>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</si>
  <si>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</si>
  <si>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</si>
  <si>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</si>
  <si>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</si>
  <si>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</si>
  <si>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</si>
  <si>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</si>
  <si>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</si>
  <si>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</si>
  <si>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</si>
  <si>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</si>
  <si>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</si>
  <si>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</si>
  <si>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</si>
  <si>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</si>
  <si>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</si>
  <si>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</si>
  <si>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</si>
  <si>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</si>
  <si>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</si>
  <si>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</si>
  <si>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</si>
  <si>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</si>
  <si>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</si>
  <si>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</si>
  <si>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</si>
  <si>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</si>
  <si>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</si>
  <si>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</si>
  <si>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</si>
  <si>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</si>
  <si>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</si>
  <si>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</si>
  <si>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</si>
  <si>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</si>
  <si>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</si>
  <si>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</si>
  <si>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</si>
  <si>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</si>
  <si>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</si>
  <si>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</si>
  <si>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</si>
  <si>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</si>
  <si>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</si>
  <si>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</si>
  <si>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</si>
  <si>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</si>
  <si>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</si>
  <si>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</si>
  <si>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</si>
  <si>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</si>
  <si>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</si>
  <si>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</si>
  <si>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</si>
  <si>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</si>
  <si>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</si>
  <si>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</si>
  <si>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</si>
  <si>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</si>
  <si>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</si>
  <si>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</si>
  <si>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</si>
  <si>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</si>
  <si>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</si>
  <si>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</si>
  <si>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</si>
  <si>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</si>
  <si>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</si>
  <si>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</si>
  <si>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</si>
  <si>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</si>
  <si>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</si>
  <si>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</si>
  <si>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</si>
  <si>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</si>
  <si>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</si>
  <si>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</si>
  <si>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</si>
  <si>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</si>
  <si>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</si>
  <si>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</si>
  <si>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</si>
  <si>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</si>
  <si>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</si>
  <si>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</si>
  <si>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</si>
  <si>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</si>
  <si>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</si>
  <si>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</si>
  <si>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</si>
  <si>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</si>
  <si>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</si>
  <si>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</si>
  <si>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</si>
  <si>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</si>
  <si>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</si>
  <si>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</si>
  <si>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</si>
  <si>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</si>
  <si>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</si>
  <si>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</si>
  <si>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</si>
  <si>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</si>
  <si>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</si>
  <si>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</si>
  <si>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</si>
  <si>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</si>
  <si>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</si>
  <si>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</si>
  <si>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</si>
  <si>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</si>
  <si>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</si>
  <si>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</si>
  <si>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</si>
  <si>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</si>
  <si>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</si>
  <si>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</si>
  <si>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</si>
  <si>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</si>
  <si>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</si>
  <si>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</si>
  <si>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</si>
  <si>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</si>
  <si>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</si>
  <si>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</si>
  <si>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</si>
  <si>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</si>
  <si>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</si>
  <si>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</si>
  <si>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</si>
  <si>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</si>
  <si>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</si>
  <si>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</si>
  <si>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</si>
  <si>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</si>
  <si>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</si>
  <si>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</si>
  <si>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</si>
  <si>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</si>
  <si>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</si>
  <si>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</si>
  <si>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</si>
  <si>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</si>
  <si>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</si>
  <si>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</si>
  <si>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</si>
  <si>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</si>
  <si>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</si>
  <si>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</si>
  <si>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</si>
  <si>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</si>
  <si>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</si>
  <si>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</si>
  <si>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</si>
  <si>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</si>
  <si>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</si>
  <si>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</si>
  <si>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</si>
  <si>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</si>
  <si>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</si>
  <si>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</si>
  <si>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</si>
  <si>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</si>
  <si>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</si>
  <si>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</si>
  <si>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</si>
  <si>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</si>
  <si>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</si>
  <si>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</si>
  <si>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</si>
  <si>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</si>
  <si>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</si>
  <si>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</si>
  <si>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</si>
  <si>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</si>
  <si>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</si>
  <si>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</si>
  <si>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</si>
  <si>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</si>
  <si>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</si>
  <si>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</si>
  <si>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</si>
  <si>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</si>
  <si>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</si>
  <si>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</si>
  <si>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</si>
  <si>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</si>
  <si>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</si>
  <si>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</si>
  <si>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</si>
  <si>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</si>
  <si>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</si>
  <si>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</si>
  <si>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</si>
  <si>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</si>
  <si>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</si>
  <si>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</si>
  <si>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</si>
  <si>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</si>
  <si>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</si>
  <si>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</si>
  <si>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</si>
  <si>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</si>
  <si>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</si>
  <si>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</si>
  <si>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</si>
  <si>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</si>
  <si>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</si>
  <si>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</si>
  <si>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</si>
  <si>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</si>
  <si>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</si>
  <si>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</si>
  <si>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</si>
  <si>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</si>
  <si>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</si>
  <si>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</si>
  <si>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</si>
  <si>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</si>
  <si>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</si>
  <si>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</si>
  <si>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</si>
  <si>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</si>
  <si>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</si>
  <si>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</si>
  <si>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</si>
  <si>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</si>
  <si>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</si>
  <si>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</si>
  <si>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</si>
  <si>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</si>
  <si>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</si>
  <si>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</si>
  <si>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</si>
  <si>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</si>
  <si>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</si>
  <si>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</si>
  <si>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</si>
  <si>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</si>
  <si>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</si>
  <si>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</si>
  <si>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</si>
  <si>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</si>
  <si>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</si>
  <si>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</si>
  <si>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</si>
  <si>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</si>
  <si>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</si>
  <si>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</si>
  <si>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</si>
  <si>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</si>
  <si>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</si>
  <si>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</si>
  <si>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</si>
  <si>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</si>
  <si>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</si>
  <si>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</si>
  <si>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</si>
  <si>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</si>
  <si>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</si>
  <si>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</si>
  <si>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</si>
  <si>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</si>
  <si>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</si>
  <si>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</si>
  <si>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</si>
  <si>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</si>
  <si>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</si>
  <si>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</si>
  <si>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</si>
  <si>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</si>
  <si>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</si>
  <si>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</si>
  <si>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</si>
  <si>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</si>
  <si>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</si>
  <si>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</si>
  <si>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</si>
  <si>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</si>
  <si>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</si>
  <si>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</si>
  <si>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</si>
  <si>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</si>
  <si>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</si>
  <si>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</si>
  <si>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</si>
  <si>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</si>
  <si>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</si>
  <si>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</si>
  <si>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</si>
  <si>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</si>
  <si>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</si>
  <si>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</si>
  <si>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</si>
  <si>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</si>
  <si>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</si>
  <si>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</si>
  <si>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</si>
  <si>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</si>
  <si>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</si>
  <si>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</si>
  <si>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</si>
  <si>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</si>
  <si>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</si>
  <si>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</si>
  <si>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</si>
  <si>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</si>
  <si>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</si>
  <si>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</si>
  <si>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</si>
  <si>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</si>
  <si>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</si>
  <si>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</si>
  <si>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</si>
  <si>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</si>
  <si>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</si>
  <si>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</si>
  <si>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</si>
  <si>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</si>
  <si>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</si>
  <si>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</si>
  <si>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</si>
  <si>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</si>
  <si>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</si>
  <si>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</si>
  <si>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</si>
  <si>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</si>
  <si>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</si>
  <si>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</si>
  <si>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</si>
  <si>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</si>
  <si>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</si>
  <si>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</si>
  <si>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</si>
  <si>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</si>
  <si>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</si>
  <si>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</si>
  <si>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</si>
  <si>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</si>
  <si>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</si>
  <si>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</si>
  <si>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</si>
  <si>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</si>
  <si>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</si>
  <si>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</si>
  <si>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</si>
  <si>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</si>
  <si>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</si>
  <si>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</si>
  <si>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</si>
  <si>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</si>
  <si>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</si>
  <si>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</si>
  <si>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</si>
  <si>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</si>
  <si>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</si>
  <si>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</si>
  <si>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</si>
  <si>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</si>
  <si>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</si>
  <si>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</si>
  <si>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</si>
  <si>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</si>
  <si>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</si>
  <si>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</si>
  <si>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</si>
  <si>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</si>
  <si>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</si>
  <si>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</si>
  <si>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</si>
  <si>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</si>
  <si>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</si>
  <si>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</si>
  <si>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</si>
  <si>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</si>
  <si>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</si>
  <si>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</si>
  <si>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</si>
  <si>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</si>
  <si>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</si>
  <si>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</si>
  <si>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</si>
  <si>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</si>
  <si>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</si>
  <si>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</si>
  <si>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</si>
  <si>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</si>
  <si>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</si>
  <si>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</si>
  <si>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</si>
  <si>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</si>
  <si>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</si>
  <si>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</si>
  <si>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</si>
  <si>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</si>
  <si>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</si>
  <si>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</si>
  <si>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</si>
  <si>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</si>
  <si>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</si>
  <si>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</si>
  <si>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</si>
  <si>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</si>
  <si>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</si>
  <si>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</si>
  <si>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</si>
  <si>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</si>
  <si>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</si>
  <si>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</si>
  <si>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</si>
  <si>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</si>
  <si>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</si>
  <si>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</si>
  <si>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</si>
  <si>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</si>
  <si>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</si>
  <si>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</si>
  <si>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</si>
  <si>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</si>
  <si>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</si>
  <si>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</si>
  <si>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</si>
  <si>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</si>
  <si>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</si>
  <si>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</si>
  <si>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</si>
  <si>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</si>
  <si>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</si>
  <si>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</si>
  <si>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</si>
  <si>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</si>
  <si>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</si>
  <si>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</si>
  <si>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</si>
  <si>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</si>
  <si>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</si>
  <si>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</si>
  <si>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</si>
  <si>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</si>
  <si>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</si>
  <si>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</si>
  <si>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</si>
  <si>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</si>
  <si>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</si>
  <si>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</si>
  <si>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</si>
  <si>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</si>
  <si>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</si>
  <si>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</si>
  <si>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</si>
  <si>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</si>
  <si>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</si>
  <si>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</si>
  <si>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</si>
  <si>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</si>
  <si>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</si>
  <si>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</si>
  <si>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</si>
  <si>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</si>
  <si>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</si>
  <si>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</si>
  <si>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</si>
  <si>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</si>
  <si>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</si>
  <si>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</si>
  <si>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</si>
  <si>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</si>
  <si>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</si>
  <si>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</si>
  <si>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</si>
  <si>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</si>
  <si>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</si>
  <si>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</si>
  <si>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</si>
  <si>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</si>
  <si>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</si>
  <si>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</si>
  <si>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</si>
  <si>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</si>
  <si>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</si>
  <si>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</si>
  <si>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</si>
  <si>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</si>
  <si>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</si>
  <si>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</si>
  <si>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</si>
  <si>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</si>
  <si>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</si>
  <si>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</si>
  <si>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</si>
  <si>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</si>
  <si>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</si>
  <si>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</si>
  <si>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</si>
  <si>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</si>
  <si>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</si>
  <si>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</si>
  <si>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</si>
  <si>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</si>
  <si>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</si>
  <si>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</si>
  <si>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</si>
  <si>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</si>
  <si>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</si>
  <si>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</si>
  <si>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</si>
  <si>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</si>
  <si>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</si>
  <si>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</si>
  <si>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</si>
  <si>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</si>
  <si>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</si>
  <si>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</si>
  <si>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</si>
  <si>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</si>
  <si>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</si>
  <si>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</si>
  <si>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</si>
  <si>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</si>
  <si>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</si>
  <si>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</si>
  <si>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</si>
  <si>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</si>
  <si>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</si>
  <si>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</si>
  <si>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</si>
  <si>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</si>
  <si>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</si>
  <si>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</si>
  <si>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</si>
  <si>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</si>
  <si>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</si>
  <si>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</si>
  <si>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</si>
  <si>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</si>
  <si>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</si>
  <si>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</si>
  <si>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</si>
  <si>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</si>
  <si>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</si>
  <si>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</si>
  <si>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</si>
  <si>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</si>
  <si>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</si>
  <si>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</si>
  <si>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</si>
  <si>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</si>
  <si>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</si>
  <si>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</si>
  <si>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</si>
  <si>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</si>
  <si>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</si>
  <si>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</si>
  <si>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</si>
  <si>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</si>
  <si>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</si>
  <si>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</si>
  <si>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</si>
  <si>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</si>
  <si>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</si>
  <si>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</si>
  <si>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</si>
  <si>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</si>
  <si>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</si>
  <si>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</si>
  <si>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</si>
  <si>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</si>
  <si>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</si>
  <si>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</si>
  <si>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</si>
  <si>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</si>
  <si>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</si>
  <si>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</si>
  <si>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</si>
  <si>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</si>
  <si>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</si>
  <si>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</si>
  <si>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</si>
  <si>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</si>
  <si>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</si>
  <si>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</si>
  <si>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</si>
  <si>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</si>
  <si>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</si>
  <si>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</si>
  <si>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</si>
  <si>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</si>
  <si>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</si>
  <si>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</si>
  <si>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</si>
  <si>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</si>
  <si>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</si>
  <si>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</si>
  <si>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</si>
  <si>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</si>
  <si>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</si>
  <si>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</si>
  <si>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</si>
  <si>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</si>
  <si>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</si>
  <si>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</si>
  <si>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</si>
  <si>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</si>
  <si>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</si>
  <si>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</si>
  <si>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</si>
  <si>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</si>
  <si>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</si>
  <si>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</si>
  <si>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</si>
  <si>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</si>
  <si>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</si>
  <si>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</si>
  <si>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</si>
  <si>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</si>
  <si>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</si>
  <si>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</si>
  <si>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</si>
  <si>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</si>
  <si>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</si>
  <si>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</si>
  <si>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</si>
  <si>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</si>
  <si>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</si>
  <si>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</si>
  <si>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</si>
  <si>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</si>
  <si>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</si>
  <si>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</si>
  <si>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</si>
  <si>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</si>
  <si>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</si>
  <si>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</si>
  <si>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</si>
  <si>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</si>
  <si>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</si>
  <si>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</si>
  <si>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</si>
  <si>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</si>
  <si>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</si>
  <si>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</si>
  <si>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</si>
  <si>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</si>
  <si>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</si>
  <si>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</si>
  <si>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</si>
  <si>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</si>
  <si>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</si>
  <si>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</si>
  <si>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</si>
  <si>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</si>
  <si>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</si>
  <si>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</si>
  <si>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</si>
  <si>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</si>
  <si>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</si>
  <si>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</si>
  <si>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</si>
  <si>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</si>
  <si>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</si>
  <si>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</si>
  <si>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</si>
  <si>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</si>
  <si>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</si>
  <si>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</si>
  <si>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</si>
  <si>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</si>
  <si>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</si>
  <si>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</si>
  <si>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</si>
  <si>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</si>
  <si>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</si>
  <si>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</si>
  <si>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</si>
  <si>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</si>
  <si>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</si>
  <si>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</si>
  <si>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</si>
  <si>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</si>
  <si>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</si>
  <si>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</si>
  <si>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</si>
  <si>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</si>
  <si>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</si>
  <si>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</si>
  <si>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</si>
  <si>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</si>
  <si>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</si>
  <si>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</si>
  <si>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</si>
  <si>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</si>
  <si>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</si>
  <si>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</si>
  <si>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</si>
  <si>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</si>
  <si>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</si>
  <si>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</si>
  <si>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</si>
  <si>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</si>
  <si>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</si>
  <si>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</si>
  <si>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</si>
  <si>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</si>
  <si>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</si>
  <si>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</si>
  <si>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</si>
  <si>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</si>
  <si>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</si>
  <si>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</si>
  <si>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</si>
  <si>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</si>
  <si>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</si>
  <si>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</si>
  <si>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</si>
  <si>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</si>
  <si>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</si>
  <si>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</si>
  <si>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</si>
  <si>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</si>
  <si>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</si>
  <si>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</si>
  <si>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</si>
  <si>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</si>
  <si>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</si>
  <si>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</si>
  <si>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</si>
  <si>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</si>
  <si>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</si>
  <si>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</si>
  <si>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</si>
  <si>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</si>
  <si>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</si>
  <si>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</si>
  <si>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</si>
  <si>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</si>
  <si>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</si>
  <si>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</si>
  <si>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</si>
  <si>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</si>
  <si>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</si>
  <si>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</si>
  <si>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</si>
  <si>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</si>
  <si>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</si>
  <si>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</si>
  <si>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</si>
  <si>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</si>
  <si>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</si>
  <si>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</si>
  <si>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</si>
  <si>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</si>
  <si>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</si>
  <si>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</si>
  <si>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</si>
  <si>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</si>
  <si>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</si>
  <si>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</si>
  <si>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</si>
  <si>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</si>
  <si>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</si>
  <si>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</si>
  <si>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</si>
  <si>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</si>
  <si>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</si>
  <si>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</si>
  <si>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</si>
  <si>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</si>
  <si>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</si>
  <si>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</si>
  <si>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</si>
  <si>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</si>
  <si>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</si>
  <si>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</si>
  <si>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</si>
  <si>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</si>
  <si>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</si>
  <si>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</si>
  <si>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</si>
  <si>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</si>
  <si>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</si>
  <si>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</si>
  <si>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</si>
  <si>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</si>
  <si>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</si>
  <si>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</si>
  <si>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</si>
  <si>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</si>
  <si>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</si>
  <si>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</si>
  <si>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</si>
  <si>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</si>
  <si>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</si>
  <si>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</si>
  <si>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</si>
  <si>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</si>
  <si>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</si>
  <si>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</si>
  <si>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</si>
  <si>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</si>
  <si>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</si>
  <si>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</si>
  <si>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</si>
  <si>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</si>
  <si>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</si>
  <si>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</si>
  <si>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</si>
  <si>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</si>
  <si>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</si>
  <si>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</si>
  <si>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</si>
  <si>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</si>
  <si>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</si>
  <si>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</si>
  <si>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</si>
  <si>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</si>
  <si>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</si>
  <si>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</si>
  <si>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</si>
  <si>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</si>
  <si>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</si>
  <si>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</si>
  <si>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</si>
  <si>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</si>
  <si>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</si>
  <si>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</si>
  <si>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</si>
  <si>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</si>
  <si>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</si>
  <si>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</si>
  <si>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</si>
  <si>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</si>
  <si>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</si>
  <si>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</si>
  <si>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</si>
  <si>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</si>
  <si>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</si>
  <si>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</si>
  <si>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</si>
  <si>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</si>
  <si>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</si>
  <si>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</si>
  <si>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</si>
  <si>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</si>
  <si>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</si>
  <si>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</si>
  <si>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</si>
  <si>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</si>
  <si>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</si>
  <si>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</si>
  <si>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</si>
  <si>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</si>
  <si>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</si>
  <si>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</si>
  <si>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</si>
  <si>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</si>
  <si>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</si>
  <si>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</si>
  <si>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</si>
  <si>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</si>
  <si>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</si>
  <si>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</si>
  <si>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</si>
  <si>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</si>
  <si>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</si>
  <si>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</si>
  <si>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</si>
  <si>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</si>
  <si>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</si>
  <si>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</si>
  <si>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</si>
  <si>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</si>
  <si>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</si>
  <si>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</si>
  <si>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</si>
  <si>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</si>
  <si>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</si>
  <si>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</si>
  <si>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</si>
  <si>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</si>
  <si>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</si>
  <si>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</si>
  <si>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</si>
  <si>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</si>
  <si>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</si>
  <si>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</si>
  <si>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</si>
  <si>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</si>
  <si>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</si>
  <si>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</si>
  <si>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</si>
  <si>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</si>
  <si>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</si>
  <si>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</si>
  <si>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</si>
  <si>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</si>
  <si>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</si>
  <si>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</si>
  <si>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</si>
  <si>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</si>
  <si>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</si>
  <si>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</si>
  <si>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</si>
  <si>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</si>
  <si>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</si>
  <si>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</si>
  <si>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</si>
  <si>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</si>
  <si>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</si>
  <si>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</si>
  <si>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</si>
  <si>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</si>
  <si>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</si>
  <si>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</si>
  <si>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</si>
  <si>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</si>
  <si>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</si>
  <si>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</si>
  <si>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</si>
  <si>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</si>
  <si>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</si>
  <si>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</si>
  <si>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</si>
  <si>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</si>
  <si>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</si>
  <si>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</si>
  <si>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</si>
  <si>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</si>
  <si>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</si>
  <si>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</si>
  <si>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</si>
  <si>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</si>
  <si>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</si>
  <si>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</si>
  <si>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</si>
  <si>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</si>
  <si>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</si>
  <si>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</si>
  <si>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</si>
  <si>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</si>
  <si>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</si>
  <si>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</si>
  <si>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</si>
  <si>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</si>
  <si>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</si>
  <si>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</si>
  <si>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</si>
  <si>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</si>
  <si>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</si>
  <si>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</si>
  <si>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</si>
  <si>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</si>
  <si>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</si>
  <si>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</si>
  <si>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</si>
  <si>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</si>
  <si>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</si>
  <si>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</si>
  <si>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</si>
  <si>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</si>
  <si>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</si>
  <si>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</si>
  <si>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</si>
  <si>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</si>
  <si>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</si>
  <si>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</si>
  <si>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</si>
  <si>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</si>
  <si>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</si>
  <si>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</si>
  <si>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</si>
  <si>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</si>
  <si>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</si>
  <si>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</si>
  <si>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</si>
  <si>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</si>
  <si>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</si>
  <si>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</si>
  <si>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</si>
  <si>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</si>
  <si>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</si>
  <si>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</si>
  <si>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</si>
  <si>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</si>
  <si>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</si>
  <si>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</si>
  <si>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</si>
  <si>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</si>
  <si>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</si>
  <si>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</si>
  <si>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</si>
  <si>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</si>
  <si>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</si>
  <si>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</si>
  <si>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</si>
  <si>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</si>
  <si>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</si>
  <si>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</si>
  <si>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</si>
  <si>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</si>
  <si>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</si>
  <si>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</si>
  <si>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</si>
  <si>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</si>
  <si>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</si>
  <si>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</si>
  <si>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</si>
  <si>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</si>
  <si>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</si>
  <si>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</si>
  <si>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</si>
  <si>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</si>
  <si>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</si>
  <si>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</si>
  <si>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</si>
  <si>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</si>
  <si>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</si>
  <si>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</si>
  <si>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</si>
  <si>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</si>
  <si>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</si>
  <si>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</si>
  <si>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</si>
  <si>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</si>
  <si>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</si>
  <si>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</si>
  <si>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</si>
  <si>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</si>
  <si>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</si>
  <si>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</si>
  <si>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</si>
  <si>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</si>
  <si>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</si>
  <si>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</si>
  <si>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</si>
  <si>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</si>
  <si>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</si>
  <si>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</si>
  <si>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</si>
  <si>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</si>
  <si>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</si>
  <si>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</si>
  <si>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</si>
  <si>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</si>
  <si>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</si>
  <si>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</si>
  <si>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</si>
  <si>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</si>
  <si>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</si>
  <si>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</si>
  <si>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</si>
  <si>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</si>
  <si>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</si>
  <si>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</si>
  <si>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</si>
  <si>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</si>
  <si>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</si>
  <si>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</si>
  <si>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</si>
  <si>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</si>
  <si>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</si>
  <si>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</si>
  <si>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</si>
  <si>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</si>
  <si>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</si>
  <si>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</si>
  <si>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</si>
  <si>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</si>
  <si>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</si>
  <si>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</si>
  <si>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</si>
  <si>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</si>
  <si>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</si>
  <si>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</si>
  <si>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</si>
  <si>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</si>
  <si>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</si>
  <si>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</si>
  <si>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</si>
  <si>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Row Labels</t>
  </si>
  <si>
    <t>Grand Total</t>
  </si>
  <si>
    <t>Count of TX ID</t>
  </si>
  <si>
    <t>Sum of Quantity</t>
  </si>
  <si>
    <t>Column Labels</t>
  </si>
  <si>
    <t>Sum of Amount</t>
  </si>
  <si>
    <t>Average of Rating C</t>
  </si>
  <si>
    <t>Average of Days to Deliver</t>
  </si>
  <si>
    <t>Total Orders   = 2400</t>
  </si>
  <si>
    <t>Values for Display</t>
  </si>
  <si>
    <t xml:space="preserve">Orders </t>
  </si>
  <si>
    <t xml:space="preserve"> Quantity </t>
  </si>
  <si>
    <t>Avg. days to deliver</t>
  </si>
  <si>
    <t>Count of Gender Value</t>
  </si>
  <si>
    <t>Female</t>
  </si>
  <si>
    <t>Male</t>
  </si>
  <si>
    <t>Other</t>
  </si>
  <si>
    <t>Unknown</t>
  </si>
  <si>
    <t>For Matrix</t>
  </si>
  <si>
    <t>6 To 10</t>
  </si>
  <si>
    <t>More than 10</t>
  </si>
  <si>
    <t xml:space="preserve"> </t>
  </si>
  <si>
    <t>state</t>
  </si>
  <si>
    <t>county</t>
  </si>
  <si>
    <t>Sum of amount</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</si>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</sst>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0.0%"/>
  </numFmts>
  <fonts count="4"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s>
  <fills count="9">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4" tint="0.79998168889431442"/>
        <bgColor theme="4" tint="0.79998168889431442"/>
      </patternFill>
    </fill>
  </fills>
  <borders count="12">
    <border>
      <left/>
      <right/>
      <top/>
      <bottom/>
      <diagonal/>
    </border>
    <border>
      <left/>
      <right/>
      <top/>
      <bottom style="thin">
        <color theme="4" tint="0.39997558519241921"/>
      </bottom>
      <diagonal/>
    </border>
    <border>
      <left/>
      <right/>
      <top style="thin">
        <color theme="4" tint="0.39997558519241921"/>
      </top>
      <bottom/>
      <diagonal/>
    </border>
    <border>
      <left style="thick">
        <color theme="0"/>
      </left>
      <right style="thick">
        <color theme="0"/>
      </right>
      <top style="thick">
        <color theme="0"/>
      </top>
      <bottom style="thick">
        <color theme="0"/>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top/>
      <bottom style="thick">
        <color theme="0"/>
      </bottom>
      <diagonal/>
    </border>
    <border>
      <left/>
      <right style="thick">
        <color theme="0"/>
      </right>
      <top style="thick">
        <color theme="0"/>
      </top>
      <bottom style="thick">
        <color theme="0"/>
      </bottom>
      <diagonal/>
    </border>
    <border>
      <left style="thick">
        <color theme="0"/>
      </left>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s>
  <cellStyleXfs count="2">
    <xf numFmtId="0" fontId="0" fillId="0" borderId="0"/>
    <xf numFmtId="0" fontId="3" fillId="0" borderId="0" applyNumberFormat="0" applyFill="0" applyBorder="0" applyAlignment="0" applyProtection="0"/>
  </cellStyleXfs>
  <cellXfs count="29">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0" fillId="0" borderId="0" xfId="0" pivotButton="1"/>
    <xf numFmtId="0" fontId="0" fillId="0" borderId="0" xfId="0" applyAlignment="1">
      <alignment horizontal="left"/>
    </xf>
    <xf numFmtId="0" fontId="1" fillId="8" borderId="1" xfId="0" applyFont="1" applyFill="1" applyBorder="1"/>
    <xf numFmtId="164" fontId="0" fillId="0" borderId="0" xfId="0" applyNumberFormat="1"/>
    <xf numFmtId="10" fontId="0" fillId="0" borderId="0" xfId="0" applyNumberFormat="1"/>
    <xf numFmtId="165" fontId="0" fillId="0" borderId="0" xfId="0" applyNumberFormat="1"/>
    <xf numFmtId="165" fontId="0" fillId="0" borderId="3" xfId="0" applyNumberFormat="1" applyBorder="1"/>
    <xf numFmtId="0" fontId="0" fillId="0" borderId="4" xfId="0" applyBorder="1"/>
    <xf numFmtId="165" fontId="0" fillId="0" borderId="8" xfId="0" applyNumberFormat="1" applyBorder="1"/>
    <xf numFmtId="165" fontId="0" fillId="0" borderId="10" xfId="0" applyNumberFormat="1" applyBorder="1"/>
    <xf numFmtId="165" fontId="0" fillId="0" borderId="11" xfId="0" applyNumberFormat="1" applyBorder="1"/>
    <xf numFmtId="0" fontId="0" fillId="0" borderId="7" xfId="0" applyBorder="1"/>
    <xf numFmtId="0" fontId="0" fillId="0" borderId="9" xfId="0" applyBorder="1"/>
    <xf numFmtId="0" fontId="0" fillId="0" borderId="5" xfId="0" applyBorder="1"/>
    <xf numFmtId="0" fontId="0" fillId="0" borderId="6" xfId="0" applyBorder="1"/>
    <xf numFmtId="0" fontId="1" fillId="8" borderId="2" xfId="0" applyFont="1" applyFill="1" applyBorder="1"/>
    <xf numFmtId="164" fontId="1" fillId="8" borderId="2" xfId="0" applyNumberFormat="1" applyFont="1" applyFill="1" applyBorder="1"/>
  </cellXfs>
  <cellStyles count="2">
    <cellStyle name="Hyperlink" xfId="1" builtinId="8"/>
    <cellStyle name="Normal" xfId="0" builtinId="0"/>
  </cellStyles>
  <dxfs count="5">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tables!pivot-week</c:name>
    <c:fmtId val="8"/>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sz="1500" baseline="0"/>
              <a:t>Last thirteen week trend Qty and Amount</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6"/>
          </a:solidFill>
          <a:ln w="38100" cap="rnd">
            <a:solidFill>
              <a:schemeClr val="accent6"/>
            </a:solidFill>
            <a:round/>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38100" cap="rnd">
            <a:solidFill>
              <a:schemeClr val="accent6"/>
            </a:solidFill>
            <a:round/>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38100" cap="rnd">
            <a:solidFill>
              <a:schemeClr val="accent6"/>
            </a:solidFill>
            <a:round/>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38100" cap="rnd">
            <a:solidFill>
              <a:schemeClr val="accent6"/>
            </a:solidFill>
            <a:round/>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c:f>
              <c:strCache>
                <c:ptCount val="1"/>
                <c:pt idx="0">
                  <c:v>Sum of Quantity</c:v>
                </c:pt>
              </c:strCache>
            </c:strRef>
          </c:tx>
          <c:spPr>
            <a:solidFill>
              <a:schemeClr val="accent6"/>
            </a:solidFill>
            <a:ln>
              <a:noFill/>
            </a:ln>
            <a:effectLst/>
          </c:spPr>
          <c:invertIfNegative val="0"/>
          <c:cat>
            <c:strRef>
              <c:f>'Pivot tables'!$A$10:$A$23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 tables'!$B$10:$B$23</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extLst>
            <c:ext xmlns:c16="http://schemas.microsoft.com/office/drawing/2014/chart" uri="{C3380CC4-5D6E-409C-BE32-E72D297353CC}">
              <c16:uniqueId val="{00000000-F5CB-4353-813F-88438D34AFB9}"/>
            </c:ext>
          </c:extLst>
        </c:ser>
        <c:dLbls>
          <c:showLegendKey val="0"/>
          <c:showVal val="0"/>
          <c:showCatName val="0"/>
          <c:showSerName val="0"/>
          <c:showPercent val="0"/>
          <c:showBubbleSize val="0"/>
        </c:dLbls>
        <c:gapWidth val="150"/>
        <c:axId val="608625248"/>
        <c:axId val="608617688"/>
      </c:barChart>
      <c:lineChart>
        <c:grouping val="standard"/>
        <c:varyColors val="0"/>
        <c:ser>
          <c:idx val="1"/>
          <c:order val="1"/>
          <c:tx>
            <c:strRef>
              <c:f>'Pivot tables'!$C$9</c:f>
              <c:strCache>
                <c:ptCount val="1"/>
                <c:pt idx="0">
                  <c:v>Sum of Amount</c:v>
                </c:pt>
              </c:strCache>
            </c:strRef>
          </c:tx>
          <c:spPr>
            <a:ln w="38100" cap="rnd">
              <a:solidFill>
                <a:schemeClr val="accent5"/>
              </a:solidFill>
              <a:round/>
            </a:ln>
            <a:effectLst/>
          </c:spPr>
          <c:marker>
            <c:symbol val="none"/>
          </c:marker>
          <c:cat>
            <c:strRef>
              <c:f>'Pivot tables'!$A$10:$A$23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 tables'!$C$10:$C$23</c:f>
              <c:numCache>
                <c:formatCode>"₹"\ #,##0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F5CB-4353-813F-88438D34AFB9}"/>
            </c:ext>
          </c:extLst>
        </c:ser>
        <c:dLbls>
          <c:showLegendKey val="0"/>
          <c:showVal val="0"/>
          <c:showCatName val="0"/>
          <c:showSerName val="0"/>
          <c:showPercent val="0"/>
          <c:showBubbleSize val="0"/>
        </c:dLbls>
        <c:marker val="1"/>
        <c:smooth val="0"/>
        <c:axId val="615088928"/>
        <c:axId val="615092168"/>
      </c:lineChart>
      <c:catAx>
        <c:axId val="60862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08617688"/>
        <c:crosses val="autoZero"/>
        <c:auto val="1"/>
        <c:lblAlgn val="ctr"/>
        <c:lblOffset val="100"/>
        <c:noMultiLvlLbl val="0"/>
      </c:catAx>
      <c:valAx>
        <c:axId val="608617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625248"/>
        <c:crosses val="autoZero"/>
        <c:crossBetween val="between"/>
      </c:valAx>
      <c:valAx>
        <c:axId val="615092168"/>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088928"/>
        <c:crosses val="max"/>
        <c:crossBetween val="between"/>
      </c:valAx>
      <c:catAx>
        <c:axId val="615088928"/>
        <c:scaling>
          <c:orientation val="minMax"/>
        </c:scaling>
        <c:delete val="1"/>
        <c:axPos val="b"/>
        <c:numFmt formatCode="General" sourceLinked="1"/>
        <c:majorTickMark val="out"/>
        <c:minorTickMark val="none"/>
        <c:tickLblPos val="nextTo"/>
        <c:crossAx val="61509216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tables!orderQuantity</c:name>
    <c:fmtId val="19"/>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500" baseline="0"/>
              <a:t>Quantity bought by customers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tables'!$M$9</c:f>
              <c:strCache>
                <c:ptCount val="1"/>
                <c:pt idx="0">
                  <c:v>Total</c:v>
                </c:pt>
              </c:strCache>
            </c:strRef>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tables'!$L$10:$L$17</c:f>
              <c:strCache>
                <c:ptCount val="7"/>
                <c:pt idx="0">
                  <c:v>1</c:v>
                </c:pt>
                <c:pt idx="1">
                  <c:v>2</c:v>
                </c:pt>
                <c:pt idx="2">
                  <c:v>3</c:v>
                </c:pt>
                <c:pt idx="3">
                  <c:v>4</c:v>
                </c:pt>
                <c:pt idx="4">
                  <c:v>5</c:v>
                </c:pt>
                <c:pt idx="5">
                  <c:v>6 To 10</c:v>
                </c:pt>
                <c:pt idx="6">
                  <c:v>More than 10</c:v>
                </c:pt>
              </c:strCache>
            </c:strRef>
          </c:cat>
          <c:val>
            <c:numRef>
              <c:f>'Pivot tables'!$M$10:$M$17</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4DDB-470E-BEF9-1CF74D04F4CF}"/>
            </c:ext>
          </c:extLst>
        </c:ser>
        <c:dLbls>
          <c:dLblPos val="inEnd"/>
          <c:showLegendKey val="0"/>
          <c:showVal val="1"/>
          <c:showCatName val="0"/>
          <c:showSerName val="0"/>
          <c:showPercent val="0"/>
          <c:showBubbleSize val="0"/>
        </c:dLbls>
        <c:gapWidth val="25"/>
        <c:axId val="627191976"/>
        <c:axId val="627188376"/>
      </c:barChart>
      <c:catAx>
        <c:axId val="627191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627188376"/>
        <c:crosses val="autoZero"/>
        <c:auto val="1"/>
        <c:lblAlgn val="ctr"/>
        <c:lblOffset val="100"/>
        <c:noMultiLvlLbl val="0"/>
      </c:catAx>
      <c:valAx>
        <c:axId val="627188376"/>
        <c:scaling>
          <c:orientation val="minMax"/>
        </c:scaling>
        <c:delete val="1"/>
        <c:axPos val="l"/>
        <c:numFmt formatCode="General" sourceLinked="1"/>
        <c:majorTickMark val="none"/>
        <c:minorTickMark val="none"/>
        <c:tickLblPos val="nextTo"/>
        <c:crossAx val="627191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tables!popular item pivot</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Which products are popular -</a:t>
            </a:r>
            <a:r>
              <a:rPr lang="en-IN" baseline="0"/>
              <a:t> breakdown by gender</a:t>
            </a:r>
            <a:endParaRPr lang="en-IN"/>
          </a:p>
        </c:rich>
      </c:tx>
      <c:layout>
        <c:manualLayout>
          <c:xMode val="edge"/>
          <c:yMode val="edge"/>
          <c:x val="0.14879973829609688"/>
          <c:y val="1.63857689983314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tables'!$F$9:$F$10</c:f>
              <c:strCache>
                <c:ptCount val="1"/>
              </c:strCache>
            </c:strRef>
          </c:tx>
          <c:spPr>
            <a:solidFill>
              <a:schemeClr val="accent6"/>
            </a:solidFill>
            <a:ln>
              <a:noFill/>
            </a:ln>
            <a:effectLst/>
          </c:spPr>
          <c:invertIfNegative val="0"/>
          <c:cat>
            <c:strRef>
              <c:f>'Pivot tables'!$E$11:$E$31</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tables'!$F$11:$F$31</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0-5925-41BE-8652-879E2150057E}"/>
            </c:ext>
          </c:extLst>
        </c:ser>
        <c:ser>
          <c:idx val="1"/>
          <c:order val="1"/>
          <c:tx>
            <c:strRef>
              <c:f>'Pivot tables'!$G$9:$G$10</c:f>
              <c:strCache>
                <c:ptCount val="1"/>
                <c:pt idx="0">
                  <c:v>F</c:v>
                </c:pt>
              </c:strCache>
            </c:strRef>
          </c:tx>
          <c:spPr>
            <a:solidFill>
              <a:schemeClr val="accent5"/>
            </a:solidFill>
            <a:ln>
              <a:noFill/>
            </a:ln>
            <a:effectLst/>
          </c:spPr>
          <c:invertIfNegative val="0"/>
          <c:cat>
            <c:strRef>
              <c:f>'Pivot tables'!$E$11:$E$31</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tables'!$G$11:$G$31</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5-5925-41BE-8652-879E2150057E}"/>
            </c:ext>
          </c:extLst>
        </c:ser>
        <c:ser>
          <c:idx val="2"/>
          <c:order val="2"/>
          <c:tx>
            <c:strRef>
              <c:f>'Pivot tables'!$H$9:$H$10</c:f>
              <c:strCache>
                <c:ptCount val="1"/>
                <c:pt idx="0">
                  <c:v>M</c:v>
                </c:pt>
              </c:strCache>
            </c:strRef>
          </c:tx>
          <c:spPr>
            <a:solidFill>
              <a:schemeClr val="accent4"/>
            </a:solidFill>
            <a:ln>
              <a:noFill/>
            </a:ln>
            <a:effectLst/>
          </c:spPr>
          <c:invertIfNegative val="0"/>
          <c:cat>
            <c:strRef>
              <c:f>'Pivot tables'!$E$11:$E$31</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tables'!$H$11:$H$31</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6-5925-41BE-8652-879E2150057E}"/>
            </c:ext>
          </c:extLst>
        </c:ser>
        <c:ser>
          <c:idx val="3"/>
          <c:order val="3"/>
          <c:tx>
            <c:strRef>
              <c:f>'Pivot tables'!$I$9:$I$10</c:f>
              <c:strCache>
                <c:ptCount val="1"/>
                <c:pt idx="0">
                  <c:v>O</c:v>
                </c:pt>
              </c:strCache>
            </c:strRef>
          </c:tx>
          <c:spPr>
            <a:solidFill>
              <a:schemeClr val="accent6">
                <a:lumMod val="60000"/>
              </a:schemeClr>
            </a:solidFill>
            <a:ln>
              <a:noFill/>
            </a:ln>
            <a:effectLst/>
          </c:spPr>
          <c:invertIfNegative val="0"/>
          <c:cat>
            <c:strRef>
              <c:f>'Pivot tables'!$E$11:$E$31</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tables'!$I$11:$I$31</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7-5925-41BE-8652-879E2150057E}"/>
            </c:ext>
          </c:extLst>
        </c:ser>
        <c:dLbls>
          <c:showLegendKey val="0"/>
          <c:showVal val="0"/>
          <c:showCatName val="0"/>
          <c:showSerName val="0"/>
          <c:showPercent val="0"/>
          <c:showBubbleSize val="0"/>
        </c:dLbls>
        <c:gapWidth val="24"/>
        <c:overlap val="100"/>
        <c:axId val="617239400"/>
        <c:axId val="364352016"/>
      </c:barChart>
      <c:catAx>
        <c:axId val="617239400"/>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352016"/>
        <c:crosses val="autoZero"/>
        <c:auto val="1"/>
        <c:lblAlgn val="ctr"/>
        <c:lblOffset val="100"/>
        <c:noMultiLvlLbl val="0"/>
      </c:catAx>
      <c:valAx>
        <c:axId val="364352016"/>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239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tables!gender pivot</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outerShdw blurRad="317500" algn="ctr" rotWithShape="0">
              <a:prstClr val="black">
                <a:alpha val="25000"/>
              </a:prstClr>
            </a:outerShdw>
          </a:effectLst>
        </c:spPr>
        <c:dLbl>
          <c:idx val="0"/>
          <c:layout>
            <c:manualLayout>
              <c:x val="7.2323898657551868E-3"/>
              <c:y val="0.31900815627496193"/>
            </c:manualLayout>
          </c:layout>
          <c:spPr>
            <a:noFill/>
            <a:ln>
              <a:noFill/>
            </a:ln>
            <a:effectLst/>
          </c:spPr>
          <c:txPr>
            <a:bodyPr rot="0" spcFirstLastPara="1" vertOverflow="ellipsis" vert="horz" wrap="square" anchor="t" anchorCtr="0"/>
            <a:lstStyle/>
            <a:p>
              <a:pPr>
                <a:defRPr sz="9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0048356442980819"/>
                  <c:h val="0.23109556899648295"/>
                </c:manualLayout>
              </c15:layout>
            </c:ext>
          </c:extLst>
        </c:dLbl>
      </c:pivotFmt>
      <c:pivotFmt>
        <c:idx val="8"/>
        <c:spPr>
          <a:solidFill>
            <a:schemeClr val="accent6"/>
          </a:solidFill>
          <a:ln>
            <a:noFill/>
          </a:ln>
          <a:effectLst>
            <a:outerShdw blurRad="317500" algn="ctr" rotWithShape="0">
              <a:prstClr val="black">
                <a:alpha val="25000"/>
              </a:prstClr>
            </a:outerShdw>
          </a:effectLst>
        </c:spPr>
        <c:dLbl>
          <c:idx val="0"/>
          <c:layout>
            <c:manualLayout>
              <c:x val="-5.182913501710066E-2"/>
              <c:y val="0.19969866307797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9419077376553681"/>
                  <c:h val="0.27800290497464403"/>
                </c:manualLayout>
              </c15:layout>
            </c:ext>
          </c:extLst>
        </c:dLbl>
      </c:pivotFmt>
      <c:pivotFmt>
        <c:idx val="9"/>
        <c:spPr>
          <a:solidFill>
            <a:schemeClr val="accent6"/>
          </a:solidFill>
          <a:ln>
            <a:noFill/>
          </a:ln>
          <a:effectLst>
            <a:outerShdw blurRad="317500" algn="ctr" rotWithShape="0">
              <a:prstClr val="black">
                <a:alpha val="25000"/>
              </a:prstClr>
            </a:outerShdw>
          </a:effectLst>
        </c:spPr>
        <c:dLbl>
          <c:idx val="0"/>
          <c:layout>
            <c:manualLayout>
              <c:x val="-0.11508151693099995"/>
              <c:y val="-9.4811068253563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204662452044272"/>
                  <c:h val="0.19667612200893506"/>
                </c:manualLayout>
              </c15:layout>
            </c:ext>
          </c:extLst>
        </c:dLbl>
      </c:pivotFmt>
      <c:pivotFmt>
        <c:idx val="10"/>
        <c:spPr>
          <a:solidFill>
            <a:schemeClr val="accent6"/>
          </a:solidFill>
          <a:ln>
            <a:noFill/>
          </a:ln>
          <a:effectLst>
            <a:outerShdw blurRad="317500" algn="ctr" rotWithShape="0">
              <a:prstClr val="black">
                <a:alpha val="25000"/>
              </a:prstClr>
            </a:outerShdw>
          </a:effectLst>
        </c:spPr>
        <c:dLbl>
          <c:idx val="0"/>
          <c:layout>
            <c:manualLayout>
              <c:x val="-9.4966912369299269E-3"/>
              <c:y val="-0.160822531396905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0068912614932416"/>
                  <c:h val="0.1781489875112772"/>
                </c:manualLayout>
              </c15:layout>
            </c:ext>
          </c:extLst>
        </c:dLbl>
      </c:pivotFmt>
    </c:pivotFmts>
    <c:plotArea>
      <c:layout/>
      <c:doughnutChart>
        <c:varyColors val="1"/>
        <c:ser>
          <c:idx val="0"/>
          <c:order val="0"/>
          <c:tx>
            <c:strRef>
              <c:f>'Pivot tables'!$F$34</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60-495E-9D6C-034C95CCD970}"/>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260-495E-9D6C-034C95CCD970}"/>
              </c:ext>
            </c:extLst>
          </c:dPt>
          <c:dPt>
            <c:idx val="2"/>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F260-495E-9D6C-034C95CCD970}"/>
              </c:ext>
            </c:extLst>
          </c:dPt>
          <c:dPt>
            <c:idx val="3"/>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F260-495E-9D6C-034C95CCD970}"/>
              </c:ext>
            </c:extLst>
          </c:dPt>
          <c:dLbls>
            <c:dLbl>
              <c:idx val="0"/>
              <c:layout>
                <c:manualLayout>
                  <c:x val="7.2323898657551868E-3"/>
                  <c:y val="0.31900815627496193"/>
                </c:manualLayout>
              </c:layout>
              <c:spPr>
                <a:noFill/>
                <a:ln>
                  <a:noFill/>
                </a:ln>
                <a:effectLst/>
              </c:spPr>
              <c:txPr>
                <a:bodyPr rot="0" spcFirstLastPara="1" vertOverflow="ellipsis" vert="horz" wrap="square" anchor="t" anchorCtr="0"/>
                <a:lstStyle/>
                <a:p>
                  <a:pPr>
                    <a:defRPr sz="9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0048356442980819"/>
                      <c:h val="0.23109556899648295"/>
                    </c:manualLayout>
                  </c15:layout>
                </c:ext>
                <c:ext xmlns:c16="http://schemas.microsoft.com/office/drawing/2014/chart" uri="{C3380CC4-5D6E-409C-BE32-E72D297353CC}">
                  <c16:uniqueId val="{00000001-F260-495E-9D6C-034C95CCD970}"/>
                </c:ext>
              </c:extLst>
            </c:dLbl>
            <c:dLbl>
              <c:idx val="1"/>
              <c:layout>
                <c:manualLayout>
                  <c:x val="-5.182913501710066E-2"/>
                  <c:y val="0.1996986630779724"/>
                </c:manualLayout>
              </c:layout>
              <c:showLegendKey val="0"/>
              <c:showVal val="0"/>
              <c:showCatName val="0"/>
              <c:showSerName val="0"/>
              <c:showPercent val="1"/>
              <c:showBubbleSize val="0"/>
              <c:extLst>
                <c:ext xmlns:c15="http://schemas.microsoft.com/office/drawing/2012/chart" uri="{CE6537A1-D6FC-4f65-9D91-7224C49458BB}">
                  <c15:layout>
                    <c:manualLayout>
                      <c:w val="0.19419077376553681"/>
                      <c:h val="0.27800290497464403"/>
                    </c:manualLayout>
                  </c15:layout>
                </c:ext>
                <c:ext xmlns:c16="http://schemas.microsoft.com/office/drawing/2014/chart" uri="{C3380CC4-5D6E-409C-BE32-E72D297353CC}">
                  <c16:uniqueId val="{00000003-F260-495E-9D6C-034C95CCD970}"/>
                </c:ext>
              </c:extLst>
            </c:dLbl>
            <c:dLbl>
              <c:idx val="2"/>
              <c:layout>
                <c:manualLayout>
                  <c:x val="-0.11508151693099995"/>
                  <c:y val="-9.481106825356328E-2"/>
                </c:manualLayout>
              </c:layout>
              <c:showLegendKey val="0"/>
              <c:showVal val="0"/>
              <c:showCatName val="0"/>
              <c:showSerName val="0"/>
              <c:showPercent val="1"/>
              <c:showBubbleSize val="0"/>
              <c:extLst>
                <c:ext xmlns:c15="http://schemas.microsoft.com/office/drawing/2012/chart" uri="{CE6537A1-D6FC-4f65-9D91-7224C49458BB}">
                  <c15:layout>
                    <c:manualLayout>
                      <c:w val="0.2204662452044272"/>
                      <c:h val="0.19667612200893506"/>
                    </c:manualLayout>
                  </c15:layout>
                </c:ext>
                <c:ext xmlns:c16="http://schemas.microsoft.com/office/drawing/2014/chart" uri="{C3380CC4-5D6E-409C-BE32-E72D297353CC}">
                  <c16:uniqueId val="{00000005-F260-495E-9D6C-034C95CCD970}"/>
                </c:ext>
              </c:extLst>
            </c:dLbl>
            <c:dLbl>
              <c:idx val="3"/>
              <c:layout>
                <c:manualLayout>
                  <c:x val="-9.4966912369299269E-3"/>
                  <c:y val="-0.16082253139690592"/>
                </c:manualLayout>
              </c:layout>
              <c:showLegendKey val="0"/>
              <c:showVal val="0"/>
              <c:showCatName val="0"/>
              <c:showSerName val="0"/>
              <c:showPercent val="1"/>
              <c:showBubbleSize val="0"/>
              <c:extLst>
                <c:ext xmlns:c15="http://schemas.microsoft.com/office/drawing/2012/chart" uri="{CE6537A1-D6FC-4f65-9D91-7224C49458BB}">
                  <c15:layout>
                    <c:manualLayout>
                      <c:w val="0.20068912614932416"/>
                      <c:h val="0.1781489875112772"/>
                    </c:manualLayout>
                  </c15:layout>
                </c:ext>
                <c:ext xmlns:c16="http://schemas.microsoft.com/office/drawing/2014/chart" uri="{C3380CC4-5D6E-409C-BE32-E72D297353CC}">
                  <c16:uniqueId val="{00000007-F260-495E-9D6C-034C95CCD97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tables'!$E$35:$E$39</c:f>
              <c:strCache>
                <c:ptCount val="4"/>
                <c:pt idx="0">
                  <c:v>Female</c:v>
                </c:pt>
                <c:pt idx="1">
                  <c:v>Male</c:v>
                </c:pt>
                <c:pt idx="2">
                  <c:v>Other</c:v>
                </c:pt>
                <c:pt idx="3">
                  <c:v>Unknown</c:v>
                </c:pt>
              </c:strCache>
            </c:strRef>
          </c:cat>
          <c:val>
            <c:numRef>
              <c:f>'Pivot tables'!$F$35:$F$39</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F260-495E-9D6C-034C95CCD970}"/>
            </c:ext>
          </c:extLst>
        </c:ser>
        <c:dLbls>
          <c:showLegendKey val="0"/>
          <c:showVal val="0"/>
          <c:showCatName val="0"/>
          <c:showSerName val="0"/>
          <c:showPercent val="1"/>
          <c:showBubbleSize val="0"/>
          <c:showLeaderLines val="1"/>
        </c:dLbls>
        <c:firstSliceAng val="0"/>
        <c:holeSize val="57"/>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ln>
            <a:noFill/>
          </a:ln>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tables!PivotTable10</c:name>
    <c:fmtId val="3"/>
  </c:pivotSource>
  <c:chart>
    <c:title>
      <c:tx>
        <c:rich>
          <a:bodyPr rot="0" spcFirstLastPara="1" vertOverflow="ellipsis" vert="horz" wrap="square" anchor="ctr" anchorCtr="1"/>
          <a:lstStyle/>
          <a:p>
            <a:pPr>
              <a:defRPr sz="1500" b="0" i="0" u="none" strike="noStrike" kern="1200" baseline="0">
                <a:solidFill>
                  <a:schemeClr val="tx1"/>
                </a:solidFill>
                <a:latin typeface="+mn-lt"/>
                <a:ea typeface="+mn-ea"/>
                <a:cs typeface="+mn-cs"/>
              </a:defRPr>
            </a:pPr>
            <a:r>
              <a:rPr lang="en-US" sz="1500" b="0" i="0" baseline="0"/>
              <a:t>How many days we take to deliver?</a:t>
            </a:r>
          </a:p>
        </c:rich>
      </c:tx>
      <c:overlay val="0"/>
      <c:spPr>
        <a:noFill/>
        <a:ln>
          <a:noFill/>
        </a:ln>
        <a:effectLst/>
      </c:spPr>
      <c:txPr>
        <a:bodyPr rot="0" spcFirstLastPara="1" vertOverflow="ellipsis" vert="horz" wrap="square" anchor="ctr" anchorCtr="1"/>
        <a:lstStyle/>
        <a:p>
          <a:pPr>
            <a:defRPr sz="1500" b="0" i="0" u="none" strike="noStrike" kern="120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tables'!$P$9</c:f>
              <c:strCache>
                <c:ptCount val="1"/>
                <c:pt idx="0">
                  <c:v>Total</c:v>
                </c:pt>
              </c:strCache>
            </c:strRef>
          </c:tx>
          <c:spPr>
            <a:solidFill>
              <a:schemeClr val="accent6"/>
            </a:solidFill>
            <a:ln>
              <a:noFill/>
            </a:ln>
            <a:effectLst/>
          </c:spPr>
          <c:invertIfNegative val="0"/>
          <c:cat>
            <c:strRef>
              <c:f>'Pivot tables'!$O$10:$O$25</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 tables'!$P$10:$P$25</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2-D652-40BE-B817-0EB1EDB24FE9}"/>
            </c:ext>
          </c:extLst>
        </c:ser>
        <c:dLbls>
          <c:showLegendKey val="0"/>
          <c:showVal val="0"/>
          <c:showCatName val="0"/>
          <c:showSerName val="0"/>
          <c:showPercent val="0"/>
          <c:showBubbleSize val="0"/>
        </c:dLbls>
        <c:gapWidth val="30"/>
        <c:overlap val="-27"/>
        <c:axId val="1084063056"/>
        <c:axId val="1084060536"/>
      </c:barChart>
      <c:catAx>
        <c:axId val="108406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060536"/>
        <c:crosses val="autoZero"/>
        <c:auto val="1"/>
        <c:lblAlgn val="ctr"/>
        <c:lblOffset val="100"/>
        <c:noMultiLvlLbl val="0"/>
      </c:catAx>
      <c:valAx>
        <c:axId val="1084060536"/>
        <c:scaling>
          <c:orientation val="minMax"/>
        </c:scaling>
        <c:delete val="0"/>
        <c:axPos val="l"/>
        <c:numFmt formatCode="General" sourceLinked="1"/>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063056"/>
        <c:crosses val="autoZero"/>
        <c:crossBetween val="between"/>
      </c:valAx>
      <c:spPr>
        <a:solidFill>
          <a:schemeClr val="bg1"/>
        </a:solidFill>
        <a:ln>
          <a:noFill/>
        </a:ln>
        <a:effectLst/>
      </c:spPr>
    </c:plotArea>
    <c:plotVisOnly val="1"/>
    <c:dispBlanksAs val="gap"/>
    <c:showDLblsOverMax val="0"/>
    <c:extLst/>
  </c:chart>
  <c:spPr>
    <a:solidFill>
      <a:schemeClr val="bg1"/>
    </a:solidFill>
    <a:ln w="12700"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tables!pivot month</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How satisfied</a:t>
            </a:r>
            <a:r>
              <a:rPr lang="en-IN" baseline="0"/>
              <a:t> our customer 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tables'!$S$9:$S$10</c:f>
              <c:strCache>
                <c:ptCount val="1"/>
                <c:pt idx="0">
                  <c:v>1</c:v>
                </c:pt>
              </c:strCache>
            </c:strRef>
          </c:tx>
          <c:spPr>
            <a:solidFill>
              <a:schemeClr val="accent6"/>
            </a:solidFill>
            <a:ln>
              <a:noFill/>
            </a:ln>
            <a:effectLst/>
          </c:spPr>
          <c:invertIfNegative val="0"/>
          <c:cat>
            <c:strRef>
              <c:f>'Pivot tables'!$R$11:$R$14</c:f>
              <c:strCache>
                <c:ptCount val="3"/>
                <c:pt idx="0">
                  <c:v>Jan</c:v>
                </c:pt>
                <c:pt idx="1">
                  <c:v>Feb</c:v>
                </c:pt>
                <c:pt idx="2">
                  <c:v>Mar</c:v>
                </c:pt>
              </c:strCache>
            </c:strRef>
          </c:cat>
          <c:val>
            <c:numRef>
              <c:f>'Pivot tables'!$S$11:$S$14</c:f>
              <c:numCache>
                <c:formatCode>General</c:formatCode>
                <c:ptCount val="3"/>
                <c:pt idx="0">
                  <c:v>7</c:v>
                </c:pt>
                <c:pt idx="1">
                  <c:v>8</c:v>
                </c:pt>
                <c:pt idx="2">
                  <c:v>6</c:v>
                </c:pt>
              </c:numCache>
            </c:numRef>
          </c:val>
          <c:extLst>
            <c:ext xmlns:c16="http://schemas.microsoft.com/office/drawing/2014/chart" uri="{C3380CC4-5D6E-409C-BE32-E72D297353CC}">
              <c16:uniqueId val="{00000000-36B3-4CDC-BB9B-DE2D63B8C156}"/>
            </c:ext>
          </c:extLst>
        </c:ser>
        <c:ser>
          <c:idx val="1"/>
          <c:order val="1"/>
          <c:tx>
            <c:strRef>
              <c:f>'Pivot tables'!$T$9:$T$10</c:f>
              <c:strCache>
                <c:ptCount val="1"/>
                <c:pt idx="0">
                  <c:v>2</c:v>
                </c:pt>
              </c:strCache>
            </c:strRef>
          </c:tx>
          <c:spPr>
            <a:solidFill>
              <a:schemeClr val="accent5"/>
            </a:solidFill>
            <a:ln>
              <a:noFill/>
            </a:ln>
            <a:effectLst/>
          </c:spPr>
          <c:invertIfNegative val="0"/>
          <c:cat>
            <c:strRef>
              <c:f>'Pivot tables'!$R$11:$R$14</c:f>
              <c:strCache>
                <c:ptCount val="3"/>
                <c:pt idx="0">
                  <c:v>Jan</c:v>
                </c:pt>
                <c:pt idx="1">
                  <c:v>Feb</c:v>
                </c:pt>
                <c:pt idx="2">
                  <c:v>Mar</c:v>
                </c:pt>
              </c:strCache>
            </c:strRef>
          </c:cat>
          <c:val>
            <c:numRef>
              <c:f>'Pivot tables'!$T$11:$T$14</c:f>
              <c:numCache>
                <c:formatCode>General</c:formatCode>
                <c:ptCount val="3"/>
                <c:pt idx="0">
                  <c:v>37</c:v>
                </c:pt>
                <c:pt idx="1">
                  <c:v>51</c:v>
                </c:pt>
                <c:pt idx="2">
                  <c:v>39</c:v>
                </c:pt>
              </c:numCache>
            </c:numRef>
          </c:val>
          <c:extLst>
            <c:ext xmlns:c16="http://schemas.microsoft.com/office/drawing/2014/chart" uri="{C3380CC4-5D6E-409C-BE32-E72D297353CC}">
              <c16:uniqueId val="{00000001-36B3-4CDC-BB9B-DE2D63B8C156}"/>
            </c:ext>
          </c:extLst>
        </c:ser>
        <c:ser>
          <c:idx val="2"/>
          <c:order val="2"/>
          <c:tx>
            <c:strRef>
              <c:f>'Pivot tables'!$U$9:$U$10</c:f>
              <c:strCache>
                <c:ptCount val="1"/>
                <c:pt idx="0">
                  <c:v>3</c:v>
                </c:pt>
              </c:strCache>
            </c:strRef>
          </c:tx>
          <c:spPr>
            <a:solidFill>
              <a:schemeClr val="accent4"/>
            </a:solidFill>
            <a:ln>
              <a:noFill/>
            </a:ln>
            <a:effectLst/>
          </c:spPr>
          <c:invertIfNegative val="0"/>
          <c:cat>
            <c:strRef>
              <c:f>'Pivot tables'!$R$11:$R$14</c:f>
              <c:strCache>
                <c:ptCount val="3"/>
                <c:pt idx="0">
                  <c:v>Jan</c:v>
                </c:pt>
                <c:pt idx="1">
                  <c:v>Feb</c:v>
                </c:pt>
                <c:pt idx="2">
                  <c:v>Mar</c:v>
                </c:pt>
              </c:strCache>
            </c:strRef>
          </c:cat>
          <c:val>
            <c:numRef>
              <c:f>'Pivot tables'!$U$11:$U$14</c:f>
              <c:numCache>
                <c:formatCode>General</c:formatCode>
                <c:ptCount val="3"/>
                <c:pt idx="0">
                  <c:v>150</c:v>
                </c:pt>
                <c:pt idx="1">
                  <c:v>182</c:v>
                </c:pt>
                <c:pt idx="2">
                  <c:v>163</c:v>
                </c:pt>
              </c:numCache>
            </c:numRef>
          </c:val>
          <c:extLst>
            <c:ext xmlns:c16="http://schemas.microsoft.com/office/drawing/2014/chart" uri="{C3380CC4-5D6E-409C-BE32-E72D297353CC}">
              <c16:uniqueId val="{00000002-36B3-4CDC-BB9B-DE2D63B8C156}"/>
            </c:ext>
          </c:extLst>
        </c:ser>
        <c:ser>
          <c:idx val="3"/>
          <c:order val="3"/>
          <c:tx>
            <c:strRef>
              <c:f>'Pivot tables'!$V$9:$V$10</c:f>
              <c:strCache>
                <c:ptCount val="1"/>
                <c:pt idx="0">
                  <c:v>4</c:v>
                </c:pt>
              </c:strCache>
            </c:strRef>
          </c:tx>
          <c:spPr>
            <a:solidFill>
              <a:schemeClr val="accent6">
                <a:lumMod val="60000"/>
              </a:schemeClr>
            </a:solidFill>
            <a:ln>
              <a:noFill/>
            </a:ln>
            <a:effectLst/>
          </c:spPr>
          <c:invertIfNegative val="0"/>
          <c:cat>
            <c:strRef>
              <c:f>'Pivot tables'!$R$11:$R$14</c:f>
              <c:strCache>
                <c:ptCount val="3"/>
                <c:pt idx="0">
                  <c:v>Jan</c:v>
                </c:pt>
                <c:pt idx="1">
                  <c:v>Feb</c:v>
                </c:pt>
                <c:pt idx="2">
                  <c:v>Mar</c:v>
                </c:pt>
              </c:strCache>
            </c:strRef>
          </c:cat>
          <c:val>
            <c:numRef>
              <c:f>'Pivot tables'!$V$11:$V$14</c:f>
              <c:numCache>
                <c:formatCode>General</c:formatCode>
                <c:ptCount val="3"/>
                <c:pt idx="0">
                  <c:v>312</c:v>
                </c:pt>
                <c:pt idx="1">
                  <c:v>373</c:v>
                </c:pt>
                <c:pt idx="2">
                  <c:v>351</c:v>
                </c:pt>
              </c:numCache>
            </c:numRef>
          </c:val>
          <c:extLst>
            <c:ext xmlns:c16="http://schemas.microsoft.com/office/drawing/2014/chart" uri="{C3380CC4-5D6E-409C-BE32-E72D297353CC}">
              <c16:uniqueId val="{00000003-36B3-4CDC-BB9B-DE2D63B8C156}"/>
            </c:ext>
          </c:extLst>
        </c:ser>
        <c:ser>
          <c:idx val="4"/>
          <c:order val="4"/>
          <c:tx>
            <c:strRef>
              <c:f>'Pivot tables'!$W$9:$W$10</c:f>
              <c:strCache>
                <c:ptCount val="1"/>
                <c:pt idx="0">
                  <c:v>5</c:v>
                </c:pt>
              </c:strCache>
            </c:strRef>
          </c:tx>
          <c:spPr>
            <a:solidFill>
              <a:schemeClr val="accent5">
                <a:lumMod val="60000"/>
              </a:schemeClr>
            </a:solidFill>
            <a:ln>
              <a:noFill/>
            </a:ln>
            <a:effectLst/>
          </c:spPr>
          <c:invertIfNegative val="0"/>
          <c:cat>
            <c:strRef>
              <c:f>'Pivot tables'!$R$11:$R$14</c:f>
              <c:strCache>
                <c:ptCount val="3"/>
                <c:pt idx="0">
                  <c:v>Jan</c:v>
                </c:pt>
                <c:pt idx="1">
                  <c:v>Feb</c:v>
                </c:pt>
                <c:pt idx="2">
                  <c:v>Mar</c:v>
                </c:pt>
              </c:strCache>
            </c:strRef>
          </c:cat>
          <c:val>
            <c:numRef>
              <c:f>'Pivot tables'!$W$11:$W$14</c:f>
              <c:numCache>
                <c:formatCode>General</c:formatCode>
                <c:ptCount val="3"/>
                <c:pt idx="0">
                  <c:v>224</c:v>
                </c:pt>
                <c:pt idx="1">
                  <c:v>247</c:v>
                </c:pt>
                <c:pt idx="2">
                  <c:v>250</c:v>
                </c:pt>
              </c:numCache>
            </c:numRef>
          </c:val>
          <c:extLst>
            <c:ext xmlns:c16="http://schemas.microsoft.com/office/drawing/2014/chart" uri="{C3380CC4-5D6E-409C-BE32-E72D297353CC}">
              <c16:uniqueId val="{00000006-36B3-4CDC-BB9B-DE2D63B8C156}"/>
            </c:ext>
          </c:extLst>
        </c:ser>
        <c:dLbls>
          <c:showLegendKey val="0"/>
          <c:showVal val="0"/>
          <c:showCatName val="0"/>
          <c:showSerName val="0"/>
          <c:showPercent val="0"/>
          <c:showBubbleSize val="0"/>
        </c:dLbls>
        <c:gapWidth val="219"/>
        <c:overlap val="-27"/>
        <c:axId val="1084063056"/>
        <c:axId val="1084060536"/>
      </c:barChart>
      <c:catAx>
        <c:axId val="108406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060536"/>
        <c:crosses val="autoZero"/>
        <c:auto val="1"/>
        <c:lblAlgn val="ctr"/>
        <c:lblOffset val="100"/>
        <c:noMultiLvlLbl val="0"/>
      </c:catAx>
      <c:valAx>
        <c:axId val="1084060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06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Where do our customer lives?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Where do our customer lives?</a:t>
          </a:r>
        </a:p>
      </cx:txPr>
    </cx:title>
    <cx:plotArea>
      <cx:plotAreaRegion>
        <cx:series layoutId="regionMap" uniqueId="{00000000-DBC0-40E7-8DF4-61E1D16D29C9}">
          <cx:tx>
            <cx:txData>
              <cx:f>_xlchart.v5.6</cx:f>
              <cx:v>Sum of Quantity</cx:v>
            </cx:txData>
          </cx:tx>
          <cx:spPr>
            <a:ln>
              <a:solidFill>
                <a:schemeClr val="tx1">
                  <a:lumMod val="95000"/>
                  <a:lumOff val="5000"/>
                </a:schemeClr>
              </a:solidFill>
            </a:ln>
          </cx:spPr>
          <cx:dataId val="0"/>
          <cx:layoutPr>
            <cx:geography cultureLanguage="en-US" cultureRegion="GB" attribution="Powered by Bing">
              <cx:geoCache provider="{E9337A44-BEBE-4D9F-B70C-5C5E7DAFC167}">
                <cx:binary>7H1pc9u4svZfSeXzSw+xEABv3TlVA1KL9zXbfGEptkKCG7hvv/627CQnouQ5dFX04VUdzVTN2FLT
TT5CL083Gv/72P3PY7xeFe+6JE7L/3ns/nwfVFX2P3/8UT4G62RVniTqsdCl/ladPOrkD/3tm3pc
//FUrFqV+n9gE9E/HoNVUa279//6X7iav9YX+nFVKZ3e1uuiv1uXdVyV//De3rferZ4SlbqqrAr1
WKE/3zurWH3TRapW77ffw3++v9SpfufoOq369+/WaaWq/qHP1n++37oIfv/uj/Hf2tHrXQyqV/UT
CBNxgi2LCybslxd//y7Wqf/9bQMh+wRjIWxu2j/+7NUqAcmp+jxrs3p6KtZlCTf1/N+R9NYdwFP4
6z/c/ePmKWyeug8A/Pn+Q6qq9dO7+2pVrcv371Spnx9T0Tt6c4sf7p+fyR/buP3rf0e/gKc0+s0v
0I4f6X96axu9/4Dssk6+6vip+v3oUvMEoEWUYjaCFdMTxBAxBf4O/Da4b1FpP8A7V5gA8o7MkQH9
V7J60sXvhxkWMaGcmVjQMczwBeAY28S0zc0LbcM8XaH9II/kJ0A8kjgygC9Xhcp0uToAxPyECoq5
JfAzkBskx3baZpQLDIb6+bWN9Fs024/1zhUmoL0jc2R4/xWDK3w6DNzCpGCcGdnvljE+wRzDogeH
/xIMvHjlN2i0H+bxBSagPBY5MpDv66paH8Jq2yeIYIwRRi8Yi9GSxuiEYQu8tw3e+1eQp2u0H+OR
/ASIRxJHhvBfcabS9QGMtjhhNrEYsuh+hCG45vCCABwc968IT9doP8Ij+QkIjySODOFZ/M7VBURf
BwGZY5tZ+LultiFP2vLMGGIw20ZUWGxfDPYm1fajvXuJCYDvCh0Z5nJjtw+At31iIUyo+dqiBrNt
WZQhsOvbi3qyQvtR3hafgPC2wJGh667jd1caKJnfjzBFJ9yikDeh77nxmBOB5BmblEDwNYq+3qTU
fpR3LzEB6V2hI0MbuJ1UlfGqLn8/3ISfMGpy8NPkJbUCULcNODoxTUwJ4RCh/eql36bVfrz3XGMC
4HukjgxxoEJXzbpYHQJwcYJsBnE3568Abp4wYdpg5EeB95uU2o/37iUmwL0rdGRo36syUr2uf//q
3hhzgoA2+ZFJ74Rn+ITB2rdMRkar+w067cd6564mQL0jc2RIOzquD0KQQZ1is2Qh2XplUWOw4oIw
m1rbOE/XaD/KI/kJGI8kjgzh+9VjAbRYWh0m2bI45NQUzPPzayc0QyfU3vwDAfrmNQrB36bbfrz3
XGMC5nukjgz3y9UT+Ovfb8EJOwFvTSwgv19W9pj6hgQbjDfQ42hcopys0X6kR3c0AeWRxJEh7Ggo
u24QLqtD4CxOzE3GBXH2frYMOG8EMFscjeLwt+q1H+29V5mA+V65I0N+DtX7g7QfsE10xiwL+gxe
XqPca8OQCgv+QSOvPV2j/WiP5CfgPJI4MoQX8TpND2C8gS3DpoXs3Q4EWM22QJB3j0iUyZrsB3Zb
fAKu2wJHBuvDOlglBzDW0FmCOGOm9aN4tSetgvwZAQ/6UrAeBWLT9dqP8kh+AswjiSPD+TTJ1oVa
xQdYwRjKF1hYlKCX8AvS5C16DFknkD6DCYcOlM1rhPRbNNuP9c4VJqC9I3NseKf9IdIrdiJMDAab
fy9Yjlc12lBnNmNCjEKw04n6vILwr9JT0P3180eG7Pm6OIQftk4Ify5avSzSff1Dm+gbOhIgpf6V
5J6qz35kt6QnILv1+WNDFpqJD0FnsxMADZqBqPVqDM3gPahHjqGdqtAr2G6JTwF3S+DI0P0Ii6Y+
CP8B1UYBzKX5Wl68adG2wTszc2SU36DSfoTHF5iA8VjkyFC+WEUHqDgT+wTqyQhaN18rQeITG1mI
CT6qSE3VZz++W9ITwN36/NEhW5brA3heyJQoNIAJ+3vjrjmOn4G+ZPA2FWxkni9WUzV6Dd0t+Un4
bkkcGcL3q3TDWxb1cIAsCUhqDumuidir5CX05wvT3GnmfJNW+5Hec2cT0N4jdWSIX+jy3V+pv47X
h4i76AnQH5iIH3EXeN/txBj2VkHXCOVg2Pckxm9Ubj/y+y4yAfp9YkeG/WbvwQHMOXQLwUK3oBb1
vd9zjDpUKSyCwJjbo2hsskL7kd4Wn4DxtsCRoXsPuyEPwWvCVipKbGZz2Efz/Nrx1kCHIYtRKDdu
58nTNdqP70h+AsAjiSND+HKdPulHdZCqE+y82BBcnH+nNHcqygSaSTgjxB6FZG9Saj/Ou5eYAPWu
0JGh/QDGGnY0//7AbLMFFugRMNjfAzNAdMtLg722oZkbQefQ9oJ+g0r7kR5fYALOY5EjQ/lyXTzC
Tm3nt+9i5yfEZDb7uY19xylDEiaQDZHY3rag6XrtR3okPwHokcSx4azBdP9+mKGXk9qmDVTm97W8
s6vdPLEoho0ZaNTLeTlVoVfw3RKfAu+WwJGhex+sDtIABKYaNsIxIshrfdn4hAhkCmjm3TbV0zXa
j+9IfgLAI4kjQ/hqlR2gZ2AzawQCawqFiFdjaxhHAc5YjFpCpuqzH90t6QnYbn3+yJCFqS2wmXl9
gEAL2jQZZ5wT87XMCbYzQ+LEyHjP+lt02o/wzhUmoLwjc2RIv7B7clV8XR2oKkWxuaE5Xu/cY7aA
FiBouX9+jUz2M+35BvX2I7//LifAv1/wyL4DV+tmdZDxFFBxZJhDTfJ7S/YOSwJb5hDstNgZXTBd
o/14j+QnAD2SODKEr4sV8Nu/P9QmBLq+YM+6YK+NLuAnwoKxQmzc7zVdo/0Ij+QnIDySODKEb+LV
40HGj4gTmOq2wfhlNNRuXRLWMN90/eEX+z3aXDFdr/04j+Qn4DySODqca5hEeICVbJ/YhHGYT/Hd
Ue8QYCYQYAKyajJqsb+Jp2r0GsJb8pMQ3pI4MoTvFGxoLtXTYcy1LUyLkO/dfbvtfcCQwXZnaAEb
LeM3KbUf591LTIB6V+jI0P5Sfz1EDr0pXSBotoaBnM+vPcMKLOgSEpBnbQfcU/XZj/GW9AR4tz5/
ZMhC6vDOVWv/EA3Yz9VFbkHD/ahMgTgM7AT2S5DvXZ7b6L5Jp/0Q715iAs67QkcItlxDbeoQaEO7
vQUT3mBz688Qa7s2BYS3iU2Y4DomPOErOF2r1/EeXWMi4COpo0S8SFfF02GqzzB6F9p5YSV/b/Yc
J8+w1DGwoBCc765xCbsDpiv2T8DvXGcy+DuSR/gFmENe/ajKR/0Dgt8xa5vDXlbT5LB55pXljk+A
U4NhJWQP8j81mpIivA787mUm4r4reISwn+lVXh+qbQx6ECgGgJ9f40UPU+OwDXs4bPuFUhs1I2z8
7BuUex3/8UUmoj8WO0LsL2pVvrv+qsrsEK7egk0cmAEnChZg89ppOYIucEjeYGrgnrX/RtVeR3/f
hSZ+A/aJHuG34BIOETgE/s/zuzkHkuXF9u+wMDDQGQtoS6N7Vv5kpV5HfvsSEzHfFjo+tDfbAeLD
lMeAb4HOb9jP893Xj/M5sPcQByAokYxYN7D0b1HrVcR3LjIN8x2xY0NdrYuD1ENh0AUzCYxsf+kw
26XTzRN4EyqmYr+Dn6zXK4hvy08Be1vi2HDW8eogvcObA3OgaLJpdNjvyGHOHLUB5J2cfbJGryC8
LT8F4W2JI0P4oQbTfQguHfZTE3MztuR7YWwcqj3vt90Yb2tEsU7XaD/CI/kJCI8kjg5hGBaZHGQy
P+ziEUCyQL71yio2odUQIyTwDsbTdXoN5dEVJuE8kjkypL/o+BBBN5y/wGGUCXQUjth0iL7gDY7g
DKwfBM/L+SlTFdkP7Zb0BFi3Pv//AaT/rOLWDW/OPPvrx7PdQ5699Zw64ERhqD6DbrP9CxaMMkOw
awuqYy8J1o+//YIrTFD+ebLey3STfTrtR/VX2a17fLnFf34ohzmN7vWT6n4e9ueuqtXs+ZjAXw6r
++d3n28fzjYciX4fB7Pngf1s0z19+vM9NPUSCG1hW9zPEwg3F9oaJvMy+fYHNNtSa+gq//O9Ad3B
0HpkmTDqEaaaEEogc2rX39+C8hhEVgKOwbLAdG/G76dwBkAA5xjasMuewluwy8N6Jlnfvyt1/fyW
ONnMBYbxNzZclHGYEvrjRm903Ps6/flUvv/8Lq2TG63SqvzzPZyy9P5d9vK5jb6WaUEdHcGwUQ7u
A+K8Ta9y9ri628w2gYfw/7rW8yODefQ6GjLenw5MJ+RrE5DKu8bMIUlyaYQGXgqPx45RB/c99amM
GM3cFNemRB5Tso3zaFbbFXVLKzGXZhuFruhI4dSNXqF+8J3aUqshLzs3IUHpFiU7jxM/d3IvvAlz
+2Pme9UsS0oqG1GqmegHc6lsVrpRjTxps6iRrZE0s6CoYjdg1XmdZrZEXH1qELtVJF2wOCkc3blp
MyxUXrWyMRNTRqG+Hfz2o2b6tKSlJVWsmYMrw3fsvPSkKoaVHRa3jOUmHOeHmbRjfIPNKr6s6aDn
IrJSF3uxhlMv82/E81d1WFdOYvBZ1a/bDltub+WzxiC+GyfpZYfppyz1M1mKNlvSMk2cgrSZE2Uo
kEQbQg7CLhzUdOdkUOEMF8O6Ft681s05stsF4t0cCL1FScpZUWgXh6hxqjiLnKIh68rGTtR6g7RN
iQdykfbDcrBaLmvfK2TAK6dJ1IOo49SN42yZRP6s0+FDbBtuVaW3WWGeB0bteInyncJKbhuAtE5o
MDM7VaSLykBiLlh2hqzka1oGsaO4d2E29kXaqNShsZeyM0FwcYs6M/P+DovYx7OSaD+9NYaqzxYJ
Snvpm5H5uR9CW0vWRI/YIvMuKFqpcP1ol8Ecjp/xnVbA26pu1zlFpROWnS2TpltWfXBFU0/MjLbr
53kVfGsNVshQ9F+YaT9UQ3eLGvQ3KbIzUw9fVBPaDrNKMuM+fVK4O2tNv/87DvJIqirjDiWpI5qi
kZaZL0OruPXseMkLYVzUPH/oFdxWFte59H1x7XWlckQwfKOW5dZBFUkrYvasYr25HPg3FGo6U6j6
2FRx4CYZxW4s8FXk22RhGeqs8IZFlyHLLZKmcAwdPPpRPjhx3Q9z0YaZE/b+AhvlF9XqpYZl46Qi
7aToA5nxcphVfppJxKLTrqWeIwrjpveMz0VlnrGMIDfE4QfLC/yZgIMAZOn1Elazi0WxjHnEHVbp
s9QqWxkkmVPnwpIBi76VQXWdJXTVlN4Fi4dQRn14BUfynWckaCTT9nnaxlxiQhonpFwWgQpkWDXt
Iu8ST1YBQRLbkJlG4svA9SyJrVOz9L+QiGT3g8ECaQSikzG2PnAjuO+wIU27/ZwHVJ1mgX06dPm5
54vs3NPlZ9Z5CyT4vcHYaUDEtWGXt4HJ1hkdrpKkWEYavpsD6wc3Q2ntNti/axq9iEy99Gu1KMLA
nkWdnUpYPezvsilPAxzWd55oAqnSeJ507Tmrymj26/mpWybzUWd9ofzg+9G3P3/814NO4N/nA1X/
/cvNybn//mmx1hvXXI4/tHFtPz/170NZN67k5wmtIwf1cvzuD6P+ljff5No26d7rru2hfgnRd53b
c5r43blBmAJnT8A2RDh/AlzHhiX66dygAgCTAyBixRTW5sbv/XBum03phAhISpkNH8EQzv5wbnB4
CfyCA8u42RQH0zjf4txgbOOWc9tQU0BfwRYNKENQcL02hMe/OjfUWEVi6CS5HqzgjCAkaaMt2UWp
O6ShnjewwUOGXnxJsziaW4QuzRotVFZdB7Vxmsaha7f4NkWGUxN01pbZKqrpF6+MnSitLrsBXfg2
XQ4BmKjI0L0TcP9L2ce3jedFM5YkK9tkzKFBn0svrjNnQG18nvQxlnEUlFIkVfpJk+C8rrW4SEly
I4IolrYG+z5wwyns6CszrDnx0E3Q6eussEKZ2eHnFjVM6pRdCyuvXVxHXEaoVdc1009M61BaXVA5
Q8CZo5oInVq9uKgqfkq85IH03bqnw2VJ7a+xVz60faPdMPYXmtXnzBqI1A27tjQ/i6vYl3ZgfSCG
4Q66+rsN2LzcWNMCGblsbXFD7QIcub4O2+gqbMN5ZiAPfH2rnJDHhkSF8clOikzqIXNNK7wIiqGT
Q9afEzuqTlMrzmUSDWgeMDuZG6H9d8eTG6upL2gt9FWW35qazJNIzXqOrqHPaF6T7q5HjezCUElS
oBVBgaNi43NDvU9wLs6c1XUt7aa1liROvqq+/pAZJnGToY4k6sKrvoFHl0f1rdl5nVtGLPmY01PW
l6KSlfC1JDlvrnxTzL3Wy2Risdbp6+Y+6MMZ/L+aK1bGbpWnH2tQw8uHwYmU0Una6oWlTHg2Ajna
7M/zBnAIQ4PL0BSxq3thyr4nd0ro87b1nmiehVIx9kA1uzMwJ45RsQs70Z6sLR44QZbHEJ8Ed4bl
nVphRS8sXQWyy8MH4aWPwlRu6iW3SRA9hWnx0bfNWsL5i63jw00tMw+1jm14Qnq68x04VHdOaNVJ
8OhOrFU0z1TtDnaytIZoYdJmGWESz9K662e4rNfCsjKXsrxxTJ591jqZ2SiLLwILnnYeg5/09dDK
tEOlJGXRSUNwJIeuB5eP7Oxy6IsP+RDdeVktHGqGhdTKQFJ1QrhJndYyLvS5qbv4AiXRvBblZ8X4
BdQW7tJGK4crO3EMNAyLJA1rmXpFO7f7FL6ZBP+dpfm9aAB4q/Uh+BquzNp78hoDuaSx7uxM3NWt
t2xJWkBs6p3yCIIuC770EqjseTeI2ClQSiX2o1JmLcQlYV40jjH0K58MpWOVEBvG8ERlZRRnVWO4
ZsRmqOfgnONEXcMOgoUacDLrozsjlCjwIGb1h5UR9auqYQ9+1zxEMXLrTtxEGEdO6w/UaTEJJVHG
x14YqaxiPguGah70DTtTKm9lhioLYG98mRr9CnDtzyBaneksg1gbSB0XG3SNu/IyNo3LzqzSmRJ9
OjP7YaUHteyzynI0S3qAS2WybzmXfaFrifP2PuGtdvKyQgsP+7YDuQXo00CM2NbwDYTff8Nx18ve
ij0ZUcWliI27vDbXZQJfCcoSdaY5/5AV+VUZQ9iAEV1nmXnNjXZehh2TBo7pLG05njMUzgNzKC48
ZC66lALa8MTP8xRuOkrh21RX6ReaxHquDbDBvhK20zQFlZDXLD3KOgiM+lXOlF7YYBpppOY5qQ0n
COjlUAXXZUwSaXFTuL0i922YtNKn+iYvzUVY0IdsAFup0T3yc+zoQRTS1Hzl+9lZxoIzDDfntspk
EAzWHww2IMcLVT6LwyaUhQVf6qj0vjRs+FJU+V1QUn/px8YyC1E9S8DASVrV95lAiVtEgC8xtCtI
0Tot91LpJ8VXiIfBVGSODuxrMHQLPw8SiWn50HvtxwhXn4pcEDeO6k/UhvwG4Ra5cFJXcD6UYeMq
EVhOH8SJ1H7eyxiR06IM71NGFkNWa9eL0Jc26kzIUMK5FduhI+wIS5JBzlLgjw27bcuzwfvcqnMa
kNs0zCUc4fgxNJIPiiQATVotWKqvMJz4DEEvKpdmyNYIDP0MdfZNoxgsbWp4S8PqY8nZoGYxV7VU
lLrabi/KLL5rbLzkXQzmV/WzoUf3qcXOA90PUvn1J171oTTz6iyvrhrWy8qqlfS5f0N7otxY22qB
8yJ0rEJ9gqRwEcdFeJEaYP4Ho7i0e27Mm76O5qTqQjkgQmSZCUDLS2Zt5p9ZtjCckkGELpH27Vz2
NcFL2um1UElw2aaVpJkPFpt/CnXSLopKcSWrfOivUGAqJygBZ94PbOmLaqaUB+kiKs+8arCvESn0
tTkYw9IrK3ra8OAqLgIhVjXt+8XQdRjssYBEr2Hh3M79eWKhS5xZp2CNzpgHXx047VoWlTG4RkHJ
R8UzsBBN7ktaGssgp1eUlv4yDcw16c211/tfweWEsg+6ZW8abiK4iyMTbh10LAnSbtTFj52KUmn5
wQKbIZaVR8A8+Oxz0CXNokdVOGvzYJajUkuMhzlrDMhfODv34WFnXyFxQNS7izy+NIwWX6mCX5Os
8xxVJ8iJYvMDPH7w4iheZ114BuE2n2d5dwu5+SIUZelahKfztDMjpy/MzFVw6qxEefs5rbrC6eJ7
i/Yui60PiZ3f9HlYSTZEpy1l80LFNw2sE1nqbo6q7IFr+gjG9aay29SJA/gKKJbfIaOYg4FDi5YW
4LJReZUGWEk+oGXKKiztMLnmdtHLyAvqmbKjflZ0FXwfWn/DAQyBLFg5S7oYEihGS6k0Xg0lTmXc
tguuQjDOgl0BI/+5KLKLjsfc0YkxQ6pzrFZ8Adcyb1p8V+TNOazcJcfMlHkbfMiGEpI1FV+2CFxt
hC6UV50DBfDJytDn1ovAR6T8U4m7S93xxmmVbcjQQJm0Lf9j0pupg4z4dICMkBaXne/PsxZHbq3E
bWBl4KMN9qHOmsuhC6SZqq8xtc7yCMUAe3/RdKJe9kVfzdKOXSZIpA5LwBAawcK0FHNzi0KehC9a
czivC0Ic3xoKhw3sU9gmyQ3xzMH1K2FIoy2w2wR0kE1tZ05LMZFWkvZOVnI6E0OxLCnWbmGGX3kL
MYzo6huelWRhF5Bz+XZZXiR50Ts5ac/jkAswSt4iij1jYSdtCDGnV8HismIx0AdWGWdM8WTBAn1q
Q7SVyTgjIZNDYwM59N907Jlp3DRJvp6ObRrmnttXdvOx5+7KH2QjVGuhC4MxxqEzizK45s98DAa5
QQUIW9DFAQPfNqnaj3wMGjlNAUkX7Gc3YVqBBVL/zseQyaF4CAOFICODcZBvyceAOx1RjTA2FMZd
wNlHJhCRm6axX7Oxsm7rPGF9e23qm8Knsz7k7i8PZQ+dCZr+8hc2+R4wonD4HYSKQCPBmNLtv8Ba
HpGa1/V1ScMzxT8a5rVt3ZZ0ibybtrkq0Qs5ADk78MZ7/h6cAfEf/uJGo1/oU9yJQg0orq/DrDaA
zfErW/alxhs3rsvbttDirKms7IpFlidLNmdhn89yr/OsWZVUfBb6Kfu7g2bKU7YhZfo8oy6YdCKJ
CCDkjz+mAqJI4O6eGiP6ZnfG53QAuhdhKsGuQorhwzJN+9iSBAdiVsRGIhNf+UsasQUko2oO53WT
uZ9BUOX1XeqoToEfLGoi08EspIfVvdEKJ6vVnWiac8jYteSquTByD1CCNCvxRAaWsXLBj8uetbee
F7fSM8hSa3QDVLHEgp2mJnj7KPTPtY0kREcfCgP5skn/bgZy0/Fg2fChnKGqXKiKLmgmzgJldUBT
6XZuZEW58IL+Utd8uOeVaRcQkfVleq/zgC1ZDgYZpfkyZ4FR3Q4Z5E5AXBaQEsc+vahMxK/SZLCA
cK0GSDBI/jUyxQVj7aVBk4uMq9Muai8L27syzOgKQoBPKLYhDTQMW8IBTvMCq0dg459iQ1uz1qKX
XUbPPAi7myi7qLx2Vtf9KQQxN+aQO6mXu6rrL9q+u6gFkLTVkJhgiNvzsjE/5TWeUaohDkmHD1bc
+RKC+ehK1elNGlWLWrRX0RABewk5e5eBy4kqyEHyTqSybCJT0j6elSH/kFc98J6G6c9xktWndd1W
i9jD5a1QeX8R99qalwJD8v1kG+01DcRdWRcI8pG4kkFQzFGWnHmxuqlT475t0nlgACyQcc2EsiVP
qice1BBIsfAW++3MrpNaBh1y4eAbl4b9bVXrAMKvxmEtXbRFMzep51ZMyASZrtb6fkjpTeLludN2
ZQMZTdTcdX1wxzx0WrS1KzLxmUap03GreMhMg4BHLb6lpIFvk70gbSqHwYslNamDomZttv55WoN/
owjiQ26f4iSE4gNRM2a0kMf5N4FqLqkVLnMrWXSmBbFp6tSdd16WellYjSyHyoXc7QqqaS5ujVMw
FLe98CvpKROSVOrNc5t8pEXpYFghTh6lkL9acb+MWis+LeIUMmK/lqQ3zqJyeCizNpB9XEHYpO/D
xnTDsIGvtQd8cy3wyq7DFXjFS53HIXARLaR5JUQqXtkmjuU1Yvlfp/dSXjN/se875bW/IKRM17se
zwSpH+U1YCChDZ1As/FmgMOYgTQ5hqNcrE0RdcMl/vR4UEMDBhLmPRALOl/Ypij2w+MJOH4ABpMD
mQQTUaEIh97i8YAE3fIP4IkExnDgDGHQX0Mx2gyL+dU/+AVvw5CI+NpA+RdfQWFqqOOvqLdOY5Sk
MmSDUxb1jFuJNBs+H4h/Yff5VSsSsBxtkp8mKk+gwANsIK/x3LfMOXBi961q8ExwXTuN31+Ylecy
Q2dyU59QAmdOjDZsTR47jQEVgqhcJQxMUY3oE9h7yP+MxAeT1Z13onmCGlvuiMjsXZOQGesbS6I+
HWZmbcRQzbA6KDNA0YvXdu3Q3mROpdN+nur+BvdQKsF+fF53FrgGv/pMugpYtbR/0iY7g12fmZt3
UNfwmzICrwQxaDAAocPtm8FGnxpv8KG2oyKwWLDMY17BjyxUzuBnWCaJ70nunRK/mvccaLE8L5XE
bfdxCPzLiqfnmZedB3BPUveqkAnGd62K3Mb3k1mU4ksP4QcP1vC8gSRAwjGcYKfKppLZhhICuniZ
kF454Nw+CaswHGb2fu07VpMr/77CYfa3mbcf+4G255UorzMCrisGAndDGP3d+c2pSqNFkrVM0trS
QAAC+1UTD8vAE5eBjz+SvCSyVu21AWOEZlFUDy62Bn822EpIv7CNhaHrO2IET0C96EUb+Q6qo+hc
s1XVrTK7n9OMrcqe6EVdmAs4iNafFVmb6I82CtL72IS64Fr5w1PbBXcDMasZrzMNVPBz5lqg8MqD
7/cpsEXmsquwvsaFZ1/TxCvPettzqF1vWBu2rIpN3v6cIlO7vyLhAKG92qTQMeTSbdq6fJNgE8i0
86HBS/M5+y6eM/H/2rlnO4f+0c5BZfmrjp+qXUu3kfth6TCB3ZPQkwul/5eyyS+xPd0M5YcGPhjj
vKnkQzf+99h+M2OQQUi/OXADtmr9WmuB+XSwQQNTmCH5I+z/UXP6Hvn+UyPBdqUF2kOBhYSqzabl
HxoZoG1h285Vdd/mXFvtTW2e+SEUO+90ufjF+O8JtmH6/JYxhbuARIRDO+pm/sPGoEIO86sxBcaA
hGFUZjektUNw69QqIzAeBKfkJjCLvHFzzbrodtCKiasgCPjnwuc4uoVhA1CdMZMOn2GWOWWnT/Og
g8w+njEIMgaFelkPxOn7+MazDCCrjNO+tJdGru8rE1ilPkCzIed3nSqXXg8WOUi6OWyzRa5F8zMj
g0Uuoq9xH60Mz3PrLDsN4/Bz34TIGVRw7VflTOD4lAdlLlFXfCtqvshi1bpxTjk0LNDaMRIgASqr
XeYN1PtrHn7gYpmT0oHb++wz89S0UyCRUXYGJnUdl3YgvY7KrE/WXmZqqCZlldRmJ2ReFnMoa19A
jt66Ii2ILICCgDKz+bUr0zNCjcRFNH1okA9RLv5QdEEssao+RUlfOkHfPpaMnvW0SOd5mF2mQde6
ds6JaynPcjxd3MP420JyqquZ35PLxE8LpyrJbdxCaX9o6s9GSOZDy7sZpIKJFLj6FnJwRkJhyC1y
fZNqes7bgs4glFdQDMvDJTPBQWUV8Z0urIHfzjAw7o0A2jUbPqFEnxKAU+rauLNaoJMTHD+0iQ2s
i4i+GDlwyLjNTm1gxa7iqkVOYERnpQFkuIlyCkyQf+FXjwRqfnYNRbGkxQ7t8tKx4/STNzT/x96Z
NcmNY8n6F3GM4M7H4RKREbmvkuoFlpJSABeQxEKA5K+/TqmrOqWarra6y8Ncm4cua7OqzGAGQZwD
988Po5LKbKhGRs4qm1VlbHrc0vjL1CyucKu6nNPoS6YFr7K2+ZYJ6D4syrZKmvyJyeRb1LjSl81b
I2HAEN1e8EDxiixZOTJxZwP9mbStX6rIeEXYDae+6UQVWXNoMsiuc9jaEmcXV0een0Nemu/m3Hu2
bNal1xu45VzVJOKPbDGyGlM24xAS1n2kVG1ZWm8j7l+etY8BfPzO4hS55PZD529J0azJtxa+Wky6
seCwIQ7h0tHCo7y7HkSvShzwphL7yjNb5eMQxdOZd+Et69O04iNH770sv9m2x+pxcq4zh+8jTbdP
XUKfEuu3hW2Ht4i45GCV/9yx/lk3Q1AsXtagEJtrkXrfjJd98rI1KpKOl3h/qpbVQsd8q1PARkFt
wrU7TQFWfw0lUFIo7rbM0R/Ip5i5raBJh1We991zhyH2p3hb2rskdE9SBhfeNr0JPZyabuqLfpy+
EiOlwfGV1bPJmkPngAqppv0QRabqE9pDQH4Z8no5rjD0rsTeMnneg5rbXBSu7WVTUYEjnXXZpZcu
EMjyaSx1H8fFhvXLwum4jOE1vBlRpgoFPEUvhWezCPl0o8f0I8/it8ZfZAEESxYRtG3RT6XlcDyz
6NVb5ktnmrOI509sxuEde86DGkjdTuRhhOLviPewrimaOfYSdMknncXVSPzL3EFFT7O7FXV40+YA
N7Ok+fp1tl4P8KetOm26WlCv7GRQpFoZ9FXxQU32JgW3oSRs5XDbKhy5XTHmy4R/7eEI792uRr0I
iKs1zpbA1vghkMsHT7/FM1aiTVLYhm0qSgpQRBQ5dSBm2nn1vNq3a/qSMrscpVRB2TJo5HE2memm
C8OPYoy8x2WTdWoH5sNQw75VdGM0rRDot/Bo1lGVGQyGIgvFSyf1QRn30bn+RUvvky9UeO/P8XaH
gicPqpevMiAnrsKvC81ud0k/73NWDSKDCAkDuWqkzUqvhdohNpE/RSJbr5ngjw1jn9sA3Z3r5v5S
bWtaT8KE+Hv8tYwM/zQEuIuOPzXNCLc/9M6z1R9nMm6PmQfbhHoaNiGur7ANak+Zd9gD0BcnlZ6n
7daD1vqUtOFarWvuaqbGeMBTrj/QXM9VZFJxgac5q2QP9SSx9sIS4+DDqRFk3bge3eDz0vZg2Zjp
GjzsTXzh+pxc6M7exZ150BFcmYQcWxvZYvTol2aEk7gl5GmKx4+KLI8sVskpj+aPMGnQhbKN3vx1
2UXz8LOmhrmIyHnuFTcAquj/UtkTgAvIgsr5bsxcnZDbNntKcNUw0Yo2+vDXn/VzF7EXeILjGAGJ
safNwJX8XOBxmEej6rS7y2hNuxe5Qrd4+T/7iP0S3gl2QBX73s29u5vwYK6w57n9LZoe/zc+BAwL
hodCNA12wuX9h2jedUs7OHcXqic5Xi3ejWdPf/0Rf74t+KrefQRGarz/CAg0GSPR4u6i7FHIwyYA
ULrbIX1t13/zST8fYf9xU9590n4l774xeL6xSAz+GAmjjwxJyYPzLK6dra04b2L7ofD/S011v/B/
Aqk/Pi7HazsjvCIuBP36i4ZrWLtsyhB318uPBMhCClOdX67i4/fv7x8o8U8d7Hv+6j2O9f8B1/X+
yBAji/tuDf1JTnkPfv+Axr8TwN9/6vdDBsE0j/0VQH6CRfvDCvjDQMAhw4fCDoomA7gOYeSPQwZc
BwL7AI7Dd6Flv2W/yylwHYB6oTaBZQ7Bdf09OeXnAwDUFMBmEFGg2GBxYPrAL8+V2cJxkvO83Awu
zGvrKAdbFLZpV3aps/eApdZzu9ihq32/M5/MGNnnLtKoxzof5L/ZrPb3Tb5bqd+vBnNNghTZi/38
s4cv3j8Y0bBOXc5nexPIgdywbhvA7qQjOrrFmjEvrIvmT6mdvKZQIjPAnVvVQdbZ4MGVmGY4fM2N
8W/xOzgctb4nz1vsZeS4JjF9I6tHlsO7+/2PJf8T7f2zW/HjimGQwIbJd0wiwPHypytuUo57u5qb
cIkZq5Jl658tQNLwYFJIyoVdF9JWgIQAKqfJ2hQreq4jgNaVVDAGzVe+aE3KxpviSptmhKIiOKCn
VMWAjdnY8rtuzs8ChxNdYeRX/qK5vOx6Fy91o73kGkCTFce//qv+fBsw19GHyJaCQkzC4Jeika4e
c97Uwz82NH8ZGU7BRdQFWBoTgKY7t6j8ETxU/2MD+Zf71M+1KoYthheuZMDwA6xF/GO/rHfbYozz
SjRpNtwM2UZuSMfnm0Grssko/zcla9/x/rkj/vgk7IgYX4namOMU//MnTUO0blLx8Sab/OhVulH1
R2qyNSi6CfC2nPutDP01G8sWVJT4d4tmXxQ/fzwWCky7KISxiN3hl49HqqHhbBDNTSq7+FW0c/za
9fs1xJvQdaLGsVh93PojaqsLANeN6Zvpc31y+RpdLUmo/DJ07dgBChzEM+BtOCs8W9e3ybPgAr1N
pGWcj5G6iMME+uBfLw/y5xsF6gHbBiY3Q+1AgOrnr89P5niIY+pdk5mK10YZzQridQYUWLiuAzs7
3nSfWZaDEtgkPyRjtDRlQGz6zaTbNoLKYUDJx9a+NSpMv9p44un5ry8y+pNQvGdDsIj26dLQUGDJ
/XyVicoaX3ETXrdwtyjYbpNzEOVmCfODsfNcqkX691asMZwaHIV3jO2oAzUd+2hCLqCX4mHqY4GC
2Tv2AXDUCAnDQO6M5fSc6C6rqBxAZ447OtmYsIWH1+rhxk2evpXeFtaMkbwtvI0ithBYjt41Mf1D
0LI7BvoOnDeg+RtD5ZMJhBdWCZiRgjRrgL0hmret8F3WXvU8zj5Rf47OHBLO1QYgLi+dzyOBNM3a
nLxMrThrrTg9EwepZWuXL5OW5nH2vZQXDp7ogWo5nyJIE0+SE9cdaeqRpth4Rz9jRAEA1GaQ3m+z
SEU1TTo4deMwnYjM+6+NnRI896HoHpucLmlhZcTA5qu5RFBjOpIoyG+lE0sdOSUPhCzE1pA5CSut
Y5ksbcBpLXSoIOIA46Ie8ytCRnOBUhO4cgA0VWQm7T8uwueXAc6Hj3Fo4uOcIyVz0InYXrNkVLX2
l3Y72C5jB29Z/NdA9+6bZtMUl1tg0DsPLLDssJgWRwHnXL0yO2cHNVJe9SYUFwP+UyRfIpxGEyss
MFINmrRMKfIeENqWDTxaT8vQeIM4qqSrWTSv/r0LSYSwivKhU2MlmUNoXK6PS5guV0m3bT29n500
QhRr06+D+sopBz30STsP7C0HS4atfPwSrKI1oSpmM8+Tf2M6I7rlnDdyO9p8NvQkVANxpQ368dFP
vfDUrmE4I3mQgyJcpZ8D8+UCuOdAKeoh/EEn66RzOAuq3hB6y6WfpONFt6aOV+vS5+Yq0SbEinJ0
JNqVM2rhIfF4S28tHp2ElRKmIhZc2GlxGPpG5UUvUbxovQBeKz2KsF1crNQfonLUVIiS50BBD0g4
9KLWFF3BIR6YAOyyxdgxBwCBcym4whHa6pXpO914QtQjsMRv3mzTxq/8MTDHJsrm7Cb2KKPnIUxN
GrflsGicQi804HPF64nxVNRU200ecqWH5rD2oDEvfK0Rx4gDuPBluoCrO6pGNl6J2xp88CaBgytm
oEIKwv9877ZvfU/jKx+GD60QuTiFKjd93XGTPGyzgVHdemNALrnjOh2KlAfcHKmy0/CIYhyeW7YF
wGlhpg/1CHh7Q1hk2fIya9fJXeNIjKXt4VFRFSVkPqswjvuKASubqxQRH2ghqUZ/MmxtuL31HV4s
V2W4AFGF0B3kifhNdMGatEOCqutkWDVjQ6ttpl2880ZTftdS10Zl2Mh2K8TUbt6lT/sIXjRlMS4X
dhBIWr6NJ94Qx+ouj6Aw7f9dQfImh6ErWSjLxTXeVpil8X5TwzquXgGIHVEbsg3NBsHARl74tPYu
mG8SuCRjNeTSXMfzgJLEdNrhB3IR4tuiDSfDJ9AZAz/LVfTIVrl4ay6JYeYpaoP4NV4oci4ZweI9
zMOShrUG+IiLn0krqj6UoL0yR5H7aeQncGXoLFrW2kcNFPzzpHgIqsExWiMn5gfFkFH8nrgfW2jD
ypKbbZnC6F6bmDwR4+G/cImns9IAJ15qC4+7uVBLELjTkDId3DZemr8MvtwXZ9tKfUx7zfXdskYm
g7wIgwgS3oALGzU23UtUsPwFMQusboFdUlVQ5SFsG53T4K5VsJIegmzIo9MStW6+NovZm0++LlAW
vGSpRyfw0eO4bRAMA2G2o9+l+x+/X7rD/oTrmgS5ieIBf8UM550WvBu7DSqIxaMz9axr7geV4pFX
M7oChn+HPTUwA7+VJFrVADyV+7jdTi3ztfD4BEzPn+VyWHByDndCMtg3DTxMJf4ibCALFFz0yWYQ
L+Av8nNmG5hlQGM7rIuVJa8OMQlaLAoGAzhRX18ytLnt5TgNXfuYoVoc9eCTG5kz+QnDKBNZ8Ig3
wRmn5Xy+pHxktlpVCuZ6S9fwOIGQ7kBNy/VL13fx3TJr5I2kv9rug0sE0xcQ1cS3dcv3PaSRiH7h
HJCFdROsXB+mROQfPJ+KgwCiKiGJY5tbleMPzWj0ZS66Nq7iQAUI3PUxElaWB/mLaj3L6j4Y8Jhs
HoWoGQ0jkW8CG/J6zgiWVO32HbtuYw/f6GI3W6PIOHlJ1IxUJlJsxqLShtZH6y3b31Ru8ycP4CA5
b7lR5KuBB6sBa5AUPqUL8KsWQfhWRo4l7DThtrjS6/LksI3WmutlTXtgDjAnslRfRGKx8cXmEtyc
zid6g1XRjeP1kCzRlWf8aKy5HIS9ZKubeJnFEMaf0Inor7AosI1g6wQTgoSL00XubCZRBaAu90yS
5iOktTCz4HtBzD9D7/dy/DJNVc1Tr2Nnj07uM2e+Z8s+1YjDNYjB3i/aQ7xOzXCA62absUibwLTg
irp+i29EMvV9ISfrJ9cR4dFSruhudO34hLvmsqFhhdpSgb1D6x64c7ioyvYIzx23DJZm0UULS6uV
rr4u6aQT+cHFK3lqucJaQ6VDQLVnQt8N+UCwwQbI4BwywRNXLPMnmOMuI0XX2fQ5DgbpKhczE11H
tM/sg6Q6VyjuWNH11IS4mzg4gBxqQtONV6maeHgXLH6fnOgCTRwZicVj152CpVQJTbFnoBubzXXf
I7ZZIBHEDppnHa/c4vunVUZ47lfggE0RUZ5ef+9K/29rJNfNFzXq8Zv5Nfz2k9jy3y0ht78p4l0T
/yc55T975P2+vr5XYPbM+I8f+11PQfo72t/jl6GkZ1GY4mzyh56C13+lkEagcgFb+e7M/hPIzOFy
hjirwKCHFIOf+l1PweA1KGM40CQQSL9nxv+GaYvH/ZezHVgqIF3wa1O0HEjp/XK2yxYm8znjwBeR
lz1nfR5dq2G5zIZelvGsXhIhKrDd3cUwpv32xkfI8/fziriI3ECbk6W/z/mESEsHZoxF51GL8bAn
hAqyrdAFOuIdm95GcPH4gcGbOqH5BC03ITaD7YHxMrdyOIgUfuXjyqZPOQdG4cEALlJ0AG05BTo6
28XbzvE0LJyWa7Y257nvqjWg3gVCOt9YPmyQJHwKKB6ZF066/NTPzL5MeZZdBk3SXWfhgN6/eZxm
GDV1Bkr7MJHdolKeX6U2h/UXbshm9E1QILSI7YLkl12qTC0ZKWMTmEO8TDdZDG/NhmMOpARBNo8a
tBR8cBfK6RuidV6aQX5Sjl2txNUcRE2gg2s/YpcO8ZXCgBEtGmyFcF+y0s0aAAbM9IJRD+yGMuwb
dWPyG7LTFrhaLHmBMxHaVa7JRa7mBzhzj1nrD/MJeRaAkM3OROJUUw47JSm/A5OJ2eFJPtPUFmFK
o2NIHDIFMY2/dXR2p2Yd5+M8dF21ieFubfUNovznoec30g8uM+MdRu3OnkiqccNWI4fCb7cybqav
bggeGpN/+n+yxfx32zwARID0+kueex9Np+bt1/3jx0++2z/ijIB0gCyHx3QPsL7fP/DYZhhT8TvD
9s/9A8Rthp0o/a7h7tnb3/ePfUY33vOOPB5ACvI3gW5Iwr/uHxlOOMgRJSG6l/1SflYtcuqNCcuy
6XZYmvFA1kRVKugRjV+GDxBLsjpoQaVCpujKvkv7YovNScbkmx19ENJCuLPDabdAirGtcCq+YCOr
Y3wfFQI5yPsNc3uYWV+3afvZUQQNCegsQMVCFuiAhjoVcVZ405rfcSmeY4XIl3ThunuCVyv6C8bM
WPrNB9qGT0I0w21K4JEi9+MAZqWs9hcCN7bnH2jEOpxH8vusg+WwzMEbYJP5wALPPQ0yv0CFvWwn
zCTwl6H29PIgibtdxqk/9Z68saAhWCSPsa/b0sbLlUjVI9cxKOZ1vNZxusHfCxFlz3lJmf6yNmQD
H84sLPBV4cBEj6yRj6CvDnyJcOyPVKGVak62T38jBGIPfPcbyyRIvI2hU5AZ4FdxwceGVEs3QzJQ
XZXH2wNlZL2IPYKvZm7sZd9s4O5idpNPzRmkhETSt683431t2z4vGinTgo3N0W2I7EqaqsKzcNsJ
h2QNb/ow99ldyAaYx4agH2unwpjwoZ1S0D1fg2z8luLXzeseLJWAVjjRr3zG+VvTvSFJTdUisolD
QEsKvEcPpriF7tBHTYn000U25g8gZJDfE+RaLu0CKZNMdROPugIIFBw3CEDRBtais3mVefHzNKz5
Wdr2oktNUyWS3vg7o5zRDme9/lKP5g7qQWV60HJuOIxLPlckbj7kkY6OAyD7ku4MR97DL2vS61Wu
H4NRHKIBFqBbp5MI7YPVOHySzb3hk9E1h/2bTSW5xfvbw0KS9a5dsrCgHb/OZ49e2VB9JoqmBZru
4NTsLD/3RFpL0JJxvQ5a1v52iHf2X7V2umHWS8/TngxYvocE0u+BgXCSXhEn2VcoHO5swVJi3Arc
ewzECOlhjUNXhVR9yiPHQWAOQPsnfIRG8GnuUHsA7cwxvuIMGR1P8O05nEZE3YPVleGUPmYyucSR
820fi1GRLn7oMUfiMsGZYhPwLrirIPsNNWa6bAXGfnxttyk/mTH9uqQpK8JsQxbM5hoggr43gHfw
IF5TAPZVqtyEbKgqRZN60H0jOAAIu2Liw1yQZcVPLHYsBsfWQ0vot36id71a4YsLuB6Wz2OZzBij
Qbf+UgaDX29+IjHrARk6YiukKs+uDXTV0OBTO0EWThJjrjgQmevQqfjN92n3NPrRdNHbDGd+0nMY
4P9Tnb4DiXv8519XJziFr3i5z6v+c3Haf/CP4gSCcB9PhV4U76tOdkfwj+KEtzDl8e+poXjHnn8v
Ttl/gCHIcx9qPMyEn9hrvIQNLzePACpCq98737/DXsNm/FNxwowkBLITdNN461f6S3M7MORZsDaQ
7PR7doEZQ0fOgP5iIg94LruiAwv0Ffb68Rj6YFJyZOCGNoKXMojPKkI8Tnv6ol95XOchQjbMJSGQ
By7LeQ/WtUhVVhwACIi2BGvWLeJOsvwD3yN5dg/nLUjpQRK6UkjtYbODEoAcn1ynDxSDBspNZtfb
HvVLx85ezL05M4FAZoc84IZEKwpKep0E0TPbU4MG8cEc6aZqUM298dUr/HOMtkHi0Ip4KhwcGmiS
37fK7TpBPnHZg4rI0H7MkVxMFuR6kGR0af/kxeLaYDpRCZXieVDULzwCtZm6y3SLHgakIgnzPgVI
STLkXI0vUwDqE0I040c0HTchF23B4+Vol3jAIxm9mj7TGAWAGKaXIle7BzNxLOhRwZENX6lc6ywb
ZkRnLQISyHQqt0AqY0gP7XHPxc03rrdzwTZHjkBeDi2yoUtnkQPpyFB6wYZYY/IlMNNTN68HHLVF
gZJ0tyBpunJxaqBcFTTVd8mcPnNJGZjC9WPS4AjSOEwxSEmE3mNAdxI22JKGID0atd2rZUgPSMuc
FwRg+YaGIjPBc8IVgVIT0DIZ89vWpsFNjwDtkrFHeRPxUzKDlAYblqxggTAe99Ck2OHAMNaN2Vqg
bMZCpcg+8iQBbS9BwmHYwhGgP/LvYvzSpQlmbewx6UCSQ4/Q7+qzejXrRYNCCOK9/axU+Ab69c2N
PvLnCA7ves2yJ4lX34q6RfV8CeMO0vSagfRC9HhEBBljKk49IsnxzA8qY92BQB+v1z23HLBkPWbf
wfAhnk3trHffTO5rvnVOgeLBGQvk7HGTiNCmRp4jD+F5iV01TxABGgPaQtdMsyqKsovAY8NxVMsr
lNunxgcnp0Xt7+c5LF2soxzTTGxYcmnso4yIRGqXLXWXzjgvQp0oyTaTGuOsgLHG/UNu4UAHFEm3
hp+GPLmiVhPMA1Ft1bMWz0XagzgEGncI5RgA4E/8g9eHPRq6bb5cg+GeevxLyFx0b6h4yFTkF7vb
eJow6qvgIFYw1mGudTT2GEq13Y4jnpRWLMtO693RNL7iwveryW+BJrb4AlG8jSFnPd4j9D4VSmV3
WSboaUnGm2XPvFnjznkwfo10j0Tc2r6KSEx12umu8havq1Cl2sLFQPAiGbOKb94xXMt2+y1g4Ver
rtr2pEdXN6NEspZiGVhBX9ddfw1WeU23jhRDCG5uii4G9GA4ZPMXj3Vv3YxHJhjQG8MUOugcqRBP
AH2FoQgdq3+Cr/cttyNmfyxYd2GfHqNxYHUEOxPd8WYwoUIOV16wxNdkEE9eI+TNYlEz4WS1dZpv
tFo2iyk3lI4lU4CJubPXVnVZAaOhLfq8eeQKqzmOGPJdfcvriOKOQz2HB71u9yPFGAKyYVyUFnYr
p9V7CKWaKx+fVPBNgji1GKSCYydFxt+01ShNdMFxv2zEzx3MJkQn5L2Iwst+1I8+9Z9o3IwVCeyZ
Ak2rw21bGgTKlWpvp4Woj10ea+BoekjaUs8tRuhYnFONDUVwaBwdoFo0+lOWMx5d/U9P8KMnQH38
1z3Bf4rXr6P6LxoC/NT7hgDjnoIY0w6CLEZa+J8NAfkPJLT2LMKvYleG9HHuY0QxugWMM3wPD2E4
NUlj9AMRyjjezZz+rX7gO93yHmSIgU7kPqgN7PkYvLhPtH5PbIwTht3EK9W3fh8+dVhngY4vRaTv
uwVbktuXIvPhQJPool3XthL7cqX7wjXLTDHaYpIYIIF0IzypBz9CbJ5PmHvjIkwl0BtBXd6f/By/
a0hHjsEiEznlTAXFxPtHtT9I2zBmmF6xXHsSDxlGECCavz943hLTCs5iW/cWQ9TAwsobH08q3lAe
X6d2G67aIADdnwSYVUeRAwr2Z1xDqMr2xz7hnBWbGp74sE8Y2fcGX+mTxGZBM8Nq3cG4SiPxBrzh
Bdawt49suxix1Xj7nkOlvt72XWiLMZciJ20h43ktFbaqQZ1ackX27Yu/qrA0OUPql7LK2Rmox77f
pWvXV0O/dFWAyQn1hG3RbQCrF6O+ztgwMQHCYWIh/iBl6UljUwV1iSE1OEdvVzP22yXKfoux/477
RpyvsV9B17hSTN01+2YdWcSPcWS/7RK1b+RzTTIftyRMdWEY06d03/hh+D4gyRrd56gJC2qDHjL4
PXu5aAgnwJpRQnRqUUwS5O0miuxCv5ca2jlSKD+7ClCF1rmJihjofpsNaEIwocPfS5YMQahkGrIn
5lQtdQK/qGZ7kWPGB0uMusc8THsam+ko/fasu/QpyrdXspdLpH8Lg2xWa3lejQEHSQ/LuJhQYZ1v
A0zuk5hMhr9lQxXOQ9GWHSWDfzdFZnjMKNqvTO0I8ni7RQr4rxtPgfV2Gvw1H5sRx0o2gNknHxF/
uVawvCsvi8BwufANvRUOr+t60AbEt9QZxfSW+LPAI1qMuBRMrko67JbzYxwwfSky/2zb9tO05Zeb
JFD9Rn4cnXcl1xUTLX20O4ZRUowddYXS+sa0Gx4f+8QZ/Sw50ipDCN8fE2ce6RZiVFUwf5Bheuqk
YRdZPJ6hPfbI6iXikIHZT1j8rLjPEY8fEiTHt0f8TnclbWxhA44jJiImqvxu+VoF757k+81bUFD9
hCYVodEHPbZotTdM/NJ6GM46mJdy8TD8iK8NFCLdYwgaztkfmU/34Stc3bVJnBcuRAJhWMkhm8VL
FmAuIgP4viCsA6VqbHCDpqGmfYveoekaPO0mOOlm74bahEPfmk/+lvknmfET9KT+mOBaCplAd8K2
aBDEAUrQGig8Ekd1g8GTXgIhBGW4bQ0U7R6jsLY4MiUc4aVYI55WOdOViQg8ffwfL4rvWpYXo7bP
ZGkvYzWfxxDIe6QebYpWedPiyD3aFYPAMNChIzd2mZ8bsOcYpMTvRDTfdxh6mnXLtRbbR01hPHYg
Egsxti+gds7R4l+sWj+ZDNEFOQ9+4Y+Q2/J+ueqgWKS+Gg9iRVsfqOWagsXvMGCgXhyp02A6B/M8
YMbBjEGZ9LeGkVugUeCbpzuJkA/GberPlCLZP3fbx54jAhnJLKthW/+mRQo7C51gYYLpaeTR5eJN
Y217rBqge2v3Es5tfNFEyYDT2F72+QjoZG8E/qeE/yjhfyk6Ax0xb/9FBccP/VHBUabhLYH49MMg
CJL3FRyU71448SK/FCHE/ZWe/zjSI0mI4p0DXftRpvexI7/rzTneA/bdZIoxL4j4efS3Sviud//E
ImJaMab27EozmokIPOLPJdxOiwbDw8NbvUQ+Hm57cmskK9JiWpRK5AFy44zyuX5IMSC30iz6AhH6
ymBtVfFu07cLLBGj+KXBAasY/AHTjTEEI8OIrQqDDG4WzBSqMNVwLMdx/rzmwyeOLBHYkYcuao/D
as5BGDzICTW+lSvGFk2BhlkUXA0CFAzz0mfd5WPZ58LAQKfP29h+wAQnBNfGbSmTRdzGLLxFXqrO
5XhOe3nqEIc5bZZiWHIXZIgKLUeQxHWQTd/gmWGYHYvPA6QLjC79nDVrkevtZYHLVnQBmu8QJE6R
RGKowomW/oJAeDrxF0fm3zr01iXv+EUwj0MxaYi7goeYa4f9tmym8KYT8tx3UVg4pb5JywliWyN2
zD67bTC0EZPr5G0b2+m8CAPXu0HVT8XYwdhXGJ/sM3qjk9GvUHIQNJPR9i0LbHdjo/TL1uDLnajg
9wE89YJr9cbhS123Y3+Kcw+bQDCtRz7o7FY3i8BJz+GuQVUpFDOs7DDKFZzNwJEuI8mxsUgGJgpI
QrSk7N5nIcFItJYVkjU9miiMxQJBh3HCIoSiv/btRRhi0IXXNMGx5Tsbu4H0TBboL9jmAHRQgmje
Co040s0hwijjQ+Qw6k4JExzNGIp6CNsreGuXm2lvu4GczMq2qhHZN7oB/2tTEcEDaMJqnTEVktD/
xd557UhupFn4VfYFKNAE3W2S6bOyvL0hytJ7z6ffL7qnR92a0QwE7M0CutBAwnRVdWUyI35zznfs
eZvKLYWaRJgvhTazzKvdbZfQjCVT029dHT1EHjaIXVES3eC6drZ9ZUZr4uqTHYPMwGdSBe/MMJTr
jNS1Vb7wm9aThYOP+dbGCZUOT+3orOYyrNYK+iQEB2l8MLkyt6Ee3c16e9X3arGOsNqtyq7CcYx1
KY4sNHG1Kw6Vy1HMdgBN9yJfolgvXsbWTO4LxFirNnKL3dwjYNcnIJignrVL06GqjKoFTDav+8po
lH7njAz2o1FQBLNg+EiZ/LIgtAN8iLmyUzvWNWa2DoKCWxZZxip3WY0g38MEKkA5Ksno+E2VZ541
JNb1ok3XydTfWGOerltg17GX6dkZOWe3Q/Hz1RXLW6cN0aarNKCRbtZcxKg3PGOy2HjUFtzOEbKx
Yg9bmJjiRlf6h9gtO6CNHXCQbaRPMF/jvnoH8sGuRUnRPyWgtpyo3irxfKcpowadOrQ8dXAPBQDw
9TjOGgDRnhVyO+OZpcpHSreOi0I5KAIsuWHcD1zvHsvru7xODnZSXI34ABXFZtXzEtj6sS+t4Ymy
+HO0utMkFGVVYMf3nbEfTz0d9c51O+CfDeSDMFVPOj8tqqLjMIivGqUbc5LsQh1VbTW49sPiIFSO
k8VZdW3+0dqolxE37ksoLVg7TpDVUdZGg+HjhgOXHEs66hCZPjTOCdca1VDDHy9aqBB2a5gb/IUS
5JZf9kp4m03Bi1r2z5XgeHDUirl72hzjUXudUsuiccCPO7RluNEA42oxK5BUYDpNWvqJhUlc1g4X
sM4fe6BMvq2IK3eSsLDcLvYwRPmTnUprn2aDV3XlsU/UHaKYwoPWuknUsr6M3W5eYZVmCjm5PmS5
zxa/58ocMGJGuvXMzjqHg1lMF4XevZfC3he9+YQWxtzHubZKmuUNBS861XLa8Utnm0hHW5trC25P
+xwlnDJuqVDHjF7qKuVqKDVM3dYOtzpI7ZihVTxew88/ZXpLJR9nb53j7uzCOGthtVXY6YXoU3lP
Id5p/Lf5Gjlx7LVx/9XGNhalsVsP5bzvJEa9l4h8kV6jKVS4C3ovM+Zj1GXXOQR2LY7uMkwSkVXs
bIlo72G1Z3HnIehqYJy29iqH5x6gmY5xSqvthGdFx/wNLrAHq849psxbmD+tQ1+UYka1ihs1xgL8
d230vTZiN/3n4w3GpN23ILW2e/03JRJf+1OJZEJZwJumYVNEOvPTkEP/DcWO+WNcIeug37cemqyo
XBMcDC4q+6eVPPg1jQ8DOpzvE5C/xLzGmfEvJZK0iLDtkJIBZEeyhPrJl+Lm9uIWNFGX2RAjZvea
ulQP2aSJQ0E1AprByu/nJOQDPCknp2CEmJg5+QqJ5UeFQqJDl9xNYXdMnel2UKfTHDAQqCLLXaFz
Q7AYL+jAu4cxn892buzBEjJxDMpVLSEp0wSuHof9BLkmXhiZ5lxCREy4jOjdactW5MuAyuSN35Ql
cQqQMDb0dZMqNdEIYtMnCcTgjM8wUQHPs0Wv0GZiXnNM5L7aVHfCotsTvYLZGF6KUS2qN4+QP0Po
sk0RPGKe9TvdYnohEZbx+GYBfk6COvdNzX6nQ4lxNcdPVj21K5xSewOPfl9zi6GsfrJCsXXsavGC
0dhEMPhXRpvvdGsw/aF0du2EGmoWHDeUJG9zGbzl3QTMLqoRHHTPserGXi7SLebPPXdnsdGmET3E
wLnjhNVHqApOZa14qko43sDeDD/ou08r0JdzCz44rszgyHGOtcOEH8ettFYKR7vRKd18gTHAi6WE
tCQsYTuO6VEz64EJJ6smjr+m22BQ8RZhx8xm7XKTzQa+a3wCaydi0Bq6C3gavWgvZtWZ/BRP18Zh
YOEHmTJ7HcO3VdOmEVUT5oVZjYN1obbxkSF/tnXcsbvVzWF5YFgV+aUqScFtpl7QyoMsGtP0uWxo
K7lrrCdWAvlN22j1VWTp8d7RmulUuwGD6jkroW/UwD4VIZJTMBaV1KNDUWuWTF9BUQveJidWHASU
Sr0vdPU6BSa3jqKxuldnXvhtgAvvBU54+CUclgO5VE+N3dyvUwRVc850rJUaq0GqrdoGpTfyq45E
AQQf6xpZVos8C1G+6yl1f26kciuQGi5bHehXpa7LlgovgdRLSM1XDdgt+aYCQw6GkSFcpVIhVkit
mCVVY4sABVxKJZktNWXlN3kZQD37u94M5VkpNWhUh8ODix1ib0HdX0VSq6Y4qNZa5GuT1LGhlvcn
qWz7+zD/dphrnGp/fpjv8+qziV+zfz3I5df9OMjxugq0laqrmWBIDIFv8Mf6WrMItSfXAMf7t000
X/XjIIfCYxh4J5kkY1DnhP2919XJbCJBB4eZ8V3v+Vd6Xe2bdurncbWNporrAlGVjsYKGNmvB7kd
1UgxlXq+mIyKJZiG5MK+qGwavS91WQoTKw2DRSatRqzay6600hSuXjAl7EUsAX1dSjscNru7Bi/b
LBU47yFPv1e6wWujpbdpkOZXc5pGDHItAPEmwEbutvaitKyvqHLASuQcRFpBmxT1PSkrLVvFDsom
iyvNPC19m++VIutg2qSMiLzJaiMvgUh5rlTNoPh0T4nVpUcwsIUPUm/eNKaLhqhOqRxztfJyV2tW
Fh3PWQzzITXjk1N2wTGPiWNIFZfymB0X+n/dotFjdr+ZXDvyEf6zojSmFHbgN8IY2Ifa6QtfFcpz
BqKgsqbiAODwTrMiFaKHwCMSw/0J3Vk5N4n1PhbQLOrS1rYcxV9LkrzYY9zmzJq1fD8GxN5UUBDv
6QgDH+flRUjKzb6Pks8Oi80zbBf1esk6AiSsrPbtNmORPctrACmqexyUQFtbo6ocRDWpJ5Nkpm0c
6YwHmt46NbZ97bDfvAV4sh+j+Q4vbbEqRSG2qlNe2xa7MDdoWO7Dd4XBgqNjSdkyCJU59TSnykmL
wJnZcxOZz0OFmD9QjfTYBbPWbWnCQIgzSm6s5jLivRuYD8QXM/YVPDohIMWaoBd1xBPkKmTDOC7C
IyoWBZJ1N+t3it5nMfPldDk0Q+FexsPMzgOUOkBLZpRGcOkGZejhl3S/Bs1NT3rp+hqeqltuRW36
e0wnFeImHvr/dHr5n9n/nLmw/92oji/8cXzBA6NkQUej/UNd/vvxpQumbjryGvGDYfjj+BIM8VQV
Cei3JEFVlzzbf4zqQIVhFrLxUUs1p82o+q8cXxTIvwzqBHguZoKI31GVi+8or5+q0C7okzZbCv2q
oDNT0/hkh6lnDPP6p1fm6vtp+Iuj3fm13P2Gi3BlwQ2gGBc2Ts1fT0n8mSmDinS8Mk3cIh12ILE2
l/6Qx/glSmIe8KbZtF9deenO/alOq3tbb3AvsRTxRlyO65Sz8DhwMvlUAFiV5y5eKSbQr2Bsngh9
4ZhyIjTVcsIWtdltxQ/09Cq7KtWYNCK7wFdS6zUKxYGKlOEQ0xtCD/LJA1LGBgMDDdpMi6lUWmwC
a9jANej8HsIR+SMTIwbxqHCyw3CBRqsZT5HISg95zS3r/Rsln86KYp67GJu9OtKx4u7f4/c5j0Ee
UgFp9+jtspUaDoOvy/ymfuiusQ1tgA88uk7zqYf2S5jPz40UuaS9TTjYHF+ZTXC0sMRsIGHuLA6c
bRsh0jWa5h5F7y52BDEYUXRkovtWjFG6GTivKXogJmblVPlKL8dEyAw2Wre8aHkua8/kUjiUlRJG
rFSGX1vpS29r900bwkqHMEu6w41d91t6oR26FoVZJF7OURjkBGDHBixi3ipzlXl5h8LVdl/cDn2J
Mfl9zeHa9iJd8UD4Dog83r9ki7Lky5lR+qiWeaEMvblnacrqn4w3zZ7P+oihbCZUbow0WFBadoV/
K9kYxrhdcnERhkG46jSxdQde22jkHlQsc/Cr2n2hgdoxNL4pi2X2yQV5iC0WYiFeHqSw2W079nvN
TAe/MdR3lfSKVTjOD1kcmzhtl0t9YqPVRglpMEvzoWX6hz5meLQnbVdm7p6VNwR+KPVcadc5xuwJ
aMTJNhZo71nxviTVU2Rzk+ZWeUeEWuKL2k53Y29sGZR6OpJQRkK4injE2LIhCsXSFNWvJBqFzWZx
lG72TGsi/0Sd0hiktN7gYxNjzQVpjxvNGeX8p5kOWWay4pk1Tw1QdQjjY1TdfWxqm2FB5AP7oRoe
UtOQU6pRU5eVGYP77JFM+2mi7w1UKhoD305KmJz6lSDAGy1VPoEJpauacK+Sp5G55EA32Xas9Ea/
HAkjUnKTCes4nJyGXD3JVzLJOWDKNMTStjE+W4ndrqewughjNfBaVLCsQbHxtacqAe/Ztbtx7J5w
qSNAIQZjSFTcjuVFavGRNYr0it32MVOU/ZIxUI7CKFqTTMPof4g/rBHvOUFFBhJv7QZfLTiv7jMl
ItCbwHcXVvU0Nmv27vtINBgsld1s2a9Tor4s5px6doapbs5eMnE7jC3z0v5QcTNmCqhmEHj6BjlR
5AoIzLjpR+KkBoBrjRYxm16qYWvYSbdRKZXgoYqXQmiYXMvRD5SmAR9abXutuJzL8bkpEya3s3iA
DuJcVAo+7jvZ3IWOaIIdbHFQaf/lGP2V8SBPUa4LQU4XUk1T1f6Ib2zbFkTybM1X4+zZK7ENDtNt
ebFPupXyWjxW63TPdGwVHAFx936yNfb/+efLtc3vpe4/frxrc++wPjGZFf56iDcB2TeK1S9Xg/1a
BXtX7Vbu9EJy1+qv/xxdBcuk6ZJjo/6B2eF23FkxdsorLT6BMlll2acb7nHi/Jef8+vt9/334fXk
DsRiQTKvVKb+dPvV6OfMntSRK8s8NhbsWBRV/42VJf7de/bzL/OHH9JHqtrqUGWvhk37wDJ/PezU
Dwf09qq8yHnGVjfNmp3PRt/dnx0/W52Hi3jz0K6D9XVyGFc7RhOnzucP+uWGf9YP//m11n/1ln1/
EaSpjD7GwHr/jXjx04uQgYQgD1LVrqh8z8G1ulYvtMfwAEUBpZk/rw7P2nbyzvVm3Jmmlx9JyLxm
Y7CBBOx9+6v8X/sY//+ZjOQD/Odt8Dr7H79skG39ax8sv/BHIQlCGz8hwihDcHP+OtDUfoOIAXYJ
JjaqKanN+tEHu79RQwr6XB0bNYXmTwNNqfDWBa0wQhw6Tardv+BRRD32y+GAW8nh+3AyqQIdDPPV
PzzndRhMOFoGZFuifBilbmNAwKFQ+q7spG2uAJag7uCyfDJF1XmuTJXrbMhuTs7OtVWG4rCE7Grh
MzVcdeIRvabtN4SKepWmkz4kWG/mEi1AUQTIVPQlAQ3u4NVSj5IgTAHJwJBzciKGm/a9i3iFW6XY
WAuCJBthC5+FcNcgdeni6TEYycUckuq2KSMEQ0rs7jQ1fC8QykyGemR3dy7ViHmT1NKoTaJh8ACO
WCG0ycZ4O0vlTYkEB6nvc9Dph86qWpAP/a06hNkG2ijA0BHdBgvNN4vB6a6T6p4GvMTGLadPq7Q+
4XAlPiu93m8RBbmT8VToZXGo+ox8O4RDwF2uI6kk4q/57hb5ZWqy/TEG21PIYygfJrJK1xw921QD
TG1CoWZDswlLNhkBstTFzD9p2teTJFaXWbUln+YDM8jNaKXhjikoMQGDCd+BZBk/iRVr3SvTpR2N
BjlR+kMMH3uQoGyhayUrSQePSAVGO4GnnQ3j3rC6F4AGOLoNkNukw10uEsLtqPODk7FAvJpaRnlV
Ny1MEbgS3VOkVF9LH5mIS4aE+IQeAsgkHUhLNm3zGDF9HSfuvqrn6NpI9Xt2Mah8wJTsdCdaLWFq
PC+qvaogXLr9XW9l4ZnA3OqwAKLEnq6kO2iL6zFRbzRExBQZDhI/1OSrVI0fpMqctWLvrAwFZasR
QrGprGryzRL6jqKUV2ESBCurJf7VUu9A2aA1TNDG9TRGmXUQfcFLzHg7SKbHyow/bCM/BUqCvEer
CWhqOrp9pX8VeYuWWBjP5K29UF5DaQ/t7eyKkul8stNVNOo21qmpXzaKbhQMdZzNXKT+lNjo89KT
FdggkHB2gV66zZfiS81KZw11xlpZ5syGLoXSMSjJu2YpT6bOpjCabrKoO82Dcod14aXjuqRJcFd1
rxzrqTmrRnA/FclxHnPerUB/CHMCd6MmuAO9c+wSXqFKD8UGFxL7N8c9FzrxmfZ4b6kY4LIwS5Br
UVKDWnlrhXszNsk5rJqNHkhloz1cjpq4MWZ+lzyIr5tW2+O19oTjHEI0hb01HivFfAvn7kG2K2Fh
oj4wL6N42RlNvqpURGBpOz+ZveNsk5BglDRmpcYxB5G+VtgxyBVpAD7GG+LmqWnzg+EOF6mh70mx
e+gL1vkMcwxmTeOe8E0JhZLCBiW7Yfv/BmWIVWGaNfA4na3kEazZ5znroCvbNZuXfIOhf7cIhkNJ
lSdAPipvalGd6cgb5InLKaWV61QMV2VPB6LjjN70w3wdqujtNBKLVV4CzqRrY7Yukt59Ny1ipCvb
utctcWGIOvGMnm01Qxqm8vKIa6IF7K56q7vFJrMjfAYVU60WqQlD0GyXI87Xsg6zRd5ZnsXz1i/h
raaKNztnIxnqzgUWbcyIoaJs6N9vNBvBSB2mGngO+02H/bLWigx6vlWtZwOjXB7rJKg68yZlI9p0
S3Cb1Av5Xo12V8RDQeKAHb9XkXK24EyssRaD6I8fx2i4bNxoh3vza6EEXndMKZEaqEg/6gq+XGuS
zELfnD/maGrCi0UPyZOzhnLN+u1oOs2dK2VkjRSUQeh6IQTRxfcxGBjRl6dgQFBmD+2b1Sm1t/TN
lYizc4RSzUCxNqFc06SEjYjIQ7bo6zQUmBg78xrF2gXgZRZDUgCXoIRzUMSpUMcRpyCSM8dApZLv
7wz0c3HAVg09XSKFdSmJEvxtlidXau7q+SE3x+tqTK54HngRUOflqPQIoVWRrCJaGdRiiwWpp4Hp
bgu0fZrVHiBGHYU63Rc62zI0gBZawMoVBcsjPtVSJmhnFm2ZlA4yUdURBSAnLFQkh5yxRBtWuwLF
YSOlhzYaxJDZKyeRtMNKgSIqRaSKVbJfpHhRSaG7fJMzSmEjwiZ9jxwhxhuJ7LGUAshUbUh2l6LI
cGJMIGWSf1dl38d7VCh/XpVt0DAU/64k46v+WZKRQmJR+DCPgxGhCqq1H6sJHWcd2EGqrh/U/n+W
ZPZvEDsBErJKYHz3rVr7IcMzf2NQyL7CJHZLNiZ/SYZn278O3SjJXJbVLmJ+WzOp7GUE2c/9TZoz
sp+6wD4Tmn4Iu3ooLrpRny0vyYeqktP2ftk6I7uGPMrD6aF0JQyhdAtULl0SPU9GewtSavajtiA7
p+u3bOd8+nAmE2qhs1LLCDh2kzeGqeT8FiYJwArc8ALaC0LEjjmJ8gy/6AbZ3ePYl1p63aF7u2XY
vXPHCf19gPqCT3Koxso5DQqHjKWhRuKlhM+kpUZXQRDF1lWUzfaVWTgMW8SIaHll4cMrfSIn1eLO
gmu2CTinxnU7aUEHJK+N4oeeixhmXDo+probITJMy10cJcnMFdxcAMA6jL15Y4bEIwZ28aAu2V0v
UM6UUfWuS2OfFfUsjsFnNEQ4IjR4iyQIqFHE2ep1vHrTQw+n2zMoCBXyZ5WcIyCUfjZRVZrvzOwB
2oIUP4jwj9inHOZEKQ4j8zZ1xsskAc05K/GH7tp3eS8+VZHE6zbnRTGd7to2Uu4+/GQk5I6M/sMq
fZkNyEXpGO/UhRlNLUdteebc1Zmmb8qCCMoCyBwpR/ouIqClILDVz8cYHj8kajNH2wgCakEfnha4
/Wt4Zep8MCr9OtD73EMIzsJU6LsyZdCkOymxxPOk7+dBY0jYqx8qGwSHRRIANzPAK9YS+uu+hlF5
tFz72BquRGqioDIW99YOEBKBFt1MgfJhussmUyf2H9iqG7RmaCj9qiHfMy/k+jeovrqSyYwVk93a
K/n7GLkTW+jiiUe6I9d+sHeWLP15vK6FBja+I3O6MxOFuhGnsssYFW/8Kow0gowVelZu1JU6NaaH
KrKVOks/AsLdwxfHzN8dOt7Bru03gDvi7WSKhXukLtckZe3zYb6cavNRa7uz28V3SQcNM1bbhzyM
biSgChdav9VCS9lzaLM5i5qb2Q7uEIFdLzWw91FjVQ9UhDVMHM8+lvOrPlh2M4mMSBiU96ZWItZf
VbqdTS6pRXMzb+yRK4Rmi6RBJVMOiOihrOzLBKTapnQIKqj6wvDygcSwWown7JYfAFAOcU9cddPG
F1ZSoXRQ7SPIEG2rujCWZvZHGh8An5yuV1JBx83sdpduI54GJVI9PurDKplzENG98ZXPJIylVXnT
L5XX9fZukUgT25bowqJEVpcO9/q4FDtF8HQGsqRrs/gzm/WFy9F+MkfzVmeGuR9K2OhZo+9pEw3f
cJxTNCAitQRDYjUXYjPWyWUcWmDz05s8I7474tkeI7ZmY5Ku49y90sOi3lgZ/cRYjUymGxKP68K6
GzWZcd2oX4EuXlQje2d9swchwT0fdvQTiv4pWuWBRDbXy/P8IR87fa27/e08dyTFW/lzOYujSfg7
GWQA9oDV2GKyro3EqWw4jFDm56h+I/AM74dZ8ynH+tKb9YWlTN16SemuhuWtMfTn2nGNnasWLARc
+2rph8J3ugjfZYMIFAN2sQKN8456vt2rdncbFR0qsUrNyI8tCS+x04Sz1nipLHFLriB4GShRG4in
ow8JLvGTqiowU6jnASvomqnu57DMrk+A70WS6IM/BKW9Y4kL9F8RpEn0tbvKVTo2tJ7vjNZzYi2I
TFKD0TzHkwmEo60nVh4661i9vhkLCpjZwQCswRVI42LifYrxi4DGj80EPn4SVaRBjPs5D17yYpr8
nGy+tS4RAyBOMxIOk3fLLujCgmRZm0WwCYUx76yiqfdlJTYpbmE/sq1s4zg0fpyHy5aQ45eGnIOi
UdDpBduSkv0adoWFdYWYu7kdiUvucnczKQXR5Hi/rq1CrzYAHfagBk+ogbA454mzpU/G04Tu3AuG
eT6w7f5IsfJsIghlB500U8+s8JKmU1jsooJov2XMeW/GWdmYMjVeobhfhRD9VmY37EHUMX3XnAUB
DpS0zD0E7nJU4iWH0Ud/E6TLNWgxH2E4MQO2dVpaOj0C+eT2Zr6q+uiu0Fk8pLALN9iFgHFESgPd
t3u3arRaObCp7eSwwJo1xFRYWCCjZNFVF7NvCxbVT8t42FbVcjS64IQJyk9rxoQIfNZGUqukt9Ju
x3Zzds3k3cHtnrUBAwnbpU2FoY2DzMRx4sxrJC+MnYm+WKnq+KD16WuZKkAc4tsUx5MHs9haA3ix
Vo2oPrPF/gpzVWw6Q7R+Ewu+JSpjf8zU5wq05mro43Pg9jixNXXwx7ohgjlIj4WTq7tkSsKHOsow
LgXPFs3USuejC7nziyX8s2nAx4i6c/VtG9Ll74Gpu2ugkSmox+wBFj67vphdh64o14taqT5RChca
giqE9+kxQwzmCe5UUxk4wDTtc3JaVJjByQnmfKvG8wHFs+vXKVG+ZvGYz815KogStuY8x2ElPN7Q
Q91qR5PARaVyvsaJ9tFiggKIlszo5JPl36bty27bArlsK/7fsVQe1ESFgHvME3qV3saYnMrowDfI
eF41oLVLGnuPsF4+NU7otVZzWNqRzi3l7cnp1BNGP9PC8wwEg7ZYF58G6W8r1qC3cRLyhznAkWKc
4iaTCgFW8yAX4i2V2wsV2D6egHFR6bCzsg6LWeZeX8WXVu2sAnd81Ay+eTWV6POSY8rUamvk3bsA
YRAC3/AqTMKqnWOULh40gwvPLcKtGZF/PjvGmc3SfTMSkli1ZGsrVX1VofaAycUW1apveoVUSzsx
iT8S+RZ1Ln2pnqwtbQT7Y1TOCpVYuMFSwOxnYcEHX+E2H2oZJVoM64i6kxj6GP0b+JhCNHvbiA7j
nHxF4Fw24ehczlqyLZdt62I7dLbNXPjadHKU9C7KBla+Atwwa/AtsY1YDYmmh+/1ZjjjxhrDN8eK
T0LvG0oONeLNql9xw0kG5gitsVKH5sjH5y6cGavRvz1oFVGdFhq+tlk7OyPMdjo+hqFL/cAxquvC
anI8aQhMcHYLU1Meo6EsVQ8TYtsc2PmNkGPicXCGDfwbZb4G7/5SqGas+AIxBeADtCc+Ye6HEkPg
akrh0dJzbheXPMqmVDYK3B2/SJVxEyNkEXna+8FQPqEUXtaFM9T0/6EGTjIBrV3cjsKaNmxzvoDN
P4oYkFpO4aUEcbdxTXcf2eIVkNrVFAPLjWwJ7Ym7HHw+n5A0FSgZx0FbKQxGuE5m6kKVi63lSuP9
k+8dtXnvzghdolPdEL2XEVc7dfZ56OJLt7dPUpUKRSZ51dzZb11xggNHdVNWb9wtuFeyzEsLh5Sg
WBy6Xv1c4PJul0QFFUFsphj6K2AaUOEk+5pWYkVdM/pWUHw0Y74zwJ55mDiWTd1aJ1EDp06HddHB
vTDzctxx7p7ckTXpTAxLgTdi1w98ohOdH4ir00tF1q5a4DJNi2UFD8m20ql2XS19SevYE9FlWqEW
NecV+M292eCYcJ3hrCAbZETZXeZm8oEPh5WJBj1kjs9lqJ5NqE1ZMZyFfmkxqgPY6TeNEh4GtXwE
eLzvovi5s7v7yi1ZEy7qGuzkZNm3bEU96t7zXOsvcQXhrVU4GfNwT0jNsk/67IW/4H0kW3ubWnAd
dRV6zFx5EXk5PObLEGIwTI4TSFafaHsw5flCKMeMNMrSnqpBZW+ZXo9j8ZpWDjbJtuNJcJ8zswQ+
GT3mUM//buj/odehv/3zhn6bfRbFv1mx8EU/+nldA7uGFPs7s/FbZ/7Pfl4nixQ0pMPkypQyxJ9X
LBS0pC/82LH8rtUxXLQ6OvxH/ocNI0vbv7Ji0Sy+00/7V/p5gTdektyI5xZCfrtf+nlYsbY+9Y57
qefE2HJsLxVa7TIsrg2liPS1GcEifWFm2Vyj9S6sQz4QBLUM7slK3FNTuCRU5+lbyqBxplgY9C7c
zEIwWaqMbMq9xlj2xWTU635wr2lTvyTN1LMbPMy9vlWwV4RtTK9Sb1VsFw72i6lSdkqcvZkNfh87
KU9hMl6n0rFhdY1Pv7cjY3yn0u5iTBo9XD9gorF7oEk661RAsfSBjNIR0qvzbpYekULR3hJMIxMW
433j2E+YXvZLM75zHl44LoBeaVyynl1c4Z10oTD0/2xmx0+lPyWRTpVUelYWhqNIAgpPH7Rdja1l
kP6WUTpdUkNpCJjC/aIaDr8tenq/LZdHJgYXpETIjDGcM4300OiMBCKBQ83ow00jfTZaQ5ZbgvXG
wYLDjoo0Q+nKgWn5nGPTQRpP1V9ewupFn5QH5iaXnh48jPtRunzcGMuIhrrCV0cZFiXdQJUUmdP7
5h7mTeQT83Vupvs2BCcT6cnHnA/OSpX+IrjzLFdQJBjh/FroPQZvTfvqdOWgYU5CYn1KpFspkL6l
4ZuDSXqZSulqmqW/acLotGB4ypVifOL9PHbmy5KD4yVsFkIJRpnkgG37dpTOqWZMk9ZHhFBHJ0Uv
eq6xOA1J/8uyMoIj0qUufJLQtPdZ6whO/CHaxo6DJCUPa/cCuWJ0sNNy2OKmR5bJM6CuhYr5nuRV
9zbAM+R62axNrEBKxgGDOYst43uR+Vk/hVsNqSZ7u6LRT+Dr+kentByS5FL16e/55rf5pgRr/Plx
ePHaxFXZvv7riSi/7seJyNKZzBbOO8cSYEFkqtg/T0T1N3KfoEp+G2LarIN/7JxtpphCY4r5O1/k
x4DT/g3qNv5iBNtC2EgY/8qBCH33jwci9Exk3CiwDVcwS/2DICVplFS3Fz26zNVFBBeRzvM8aWrk
UBUURXhVKiOYrr62XqyIJImdqxR1StWgoN5Z7PbBjUR567qxudC19SMXe2F3j63RawwmGSStrSgB
HBUrD5POGG0K4eZlup56+mQBHWI7wLaiH4i+yubXMVxe2SfhApxurNYhacBSt3qWx5f6TNuppdZ6
GkgdVRoyNxImXq3CNqyhZGeT9JrWDavskXq8h/JA+cPHfV6cjB2CIwsXOLYFnj2zB0MeokQiVWlX
5daNGMybHNmbn5J5MgfTeXGa0HcH7bUu6tvK0F8iByFVGTTjBmwYSyV9Yegbu9gRhxLEozBvEss+
DU77pOfoua0iOxGueOyjtJfbQvrnljpfQPpYgU93vGpJb4a6usdLXF0Y5A3BS+FIahyGItTYGInE
wMEEXdjrjImUpSLMToAZ14tdPdF1DF6rIVLs1eZzaZsZnqfMu2/7XYZWUHXznZZ2fmXbyWZWXE8I
sJWOrm/o2pA0E+fOX0qDoTQ4MAgK/k2AVVgVbvlQROmH7RIjKyLkNdk7YT93VimJvl0iTswt93El
qVry6jNtGJ85cdUhYu+Q6T6xJ+IGINidaBgPcKp9WGVxXGbjppodlSuFcVtRcIBXg2SIhNOxiDWv
U0eMKGWxzWJlWunkq3g4YSVT7CGx2sy3rDHGXxSvrYoNkgmjRhmDahWpzga14HDu5VTCnlunozff
d6kF6UJGeTdpf70Mg7UyjehckCNJhc1QLZn7e2Kg3/6XvfNYkttau+yr3Og5FDgHftCDzgTSZ5Zn
mQmCRVXBe4+n74XiJUXyl9Sh6KmGUrFsJs75zN5r+/2AHDSsO1BP6oYL+tGU9pPlB2tZi89pxoB+
XH4Mtb9VJpvmcr5KE+bLkdw4/jVv1gIlf3dKneR6nsyXyHTI6mCMsalHlrG6k7R7tZyOrPK4q4z4
VEDZszGb44mxH8l/QRJqgCIV+PTXSr0EeCYXo8yuGAMfyQW+7hsbcUdPBExg6RtFq164fRjDyocM
l+7KLKxD2ZtXU8TkKje7o+IwR+qrwiX1+t6OrVfmbufa7N6kn903rbWHsHuKe2SJKrMlnL5Ow+yI
1wFS3e+kffOIzQFKkjHt3DI3r/jlWdsO4VNV4+ESanYlfXFdGfqmcpJXRfHXgP6A8ocEbmZadr3E
9J1yLTxaWZs/hibL7nTC7KSoeXpUiFZcG0uX5aOjWVtZ9nnw/cRrp/RGNP5TylhxrVF0rRAV7hx7
PqV5e+4EPLtOfyae4HOrAfw3+KaDvInLyE19OjwaFcxZW+Kcdhrgfrrs9NxRndJI2/lmSnJXl8AK
OGjZJYYH4ly0YyRqkDlEwzaHsRcsGeecMZPUUC4TrrETsf3YZXBgg4IYgUVN0UD5VtstmgRcD3lR
uOWoy2uiKg4KHvdLyINFYlFkkEhIQqDR17w4rTU+zlUe3FJbpMdYj41ty5/AG1Il3QlLwW5dsnFe
BY0Ph6k323DXKprCKCjkW094SjZKDPbk32v645peLrW/vqb3RKf8zyt6+ZzvV7TxG3czWxbQfr8s
IQXQLkdF9wWIw+LW/aFpsTBVwaW3iOjDIks38d1goBm/ERL4/fL+x03Lz/pHLAxgRLXlZwC0yE39
awCbFqalCHqrvWSJGW6KIo3csciIZb5BdDwz94mc0J9NTw97NWSf3SeDZ4hWCvbbcso536dIAz1r
R9V0ha7IYFZCloNRo6wZzQobuUHExhaBP+vOla6nUcNw2Y976RI2VOQvMweJfm11nVPnpN2VPUAb
wxiacS2UKm4+WzOkSZJsEN40zIPGGoruCpxBvY2b0jmHlRruA4gjq2oY9IeqKNHIIA6oumJ5PBOC
XkQ19EewSdOGzWF+sdKkuxVmMryqJJqVyLfC4LXX63GTNmp2guZUkApd+JdY4URCyhOy4RJoQe1B
m26EJeFvdcVwTnJruAiUC27NlqwY2H8y/ZL1Z7ztzTptGY6tQ0as+9CI23s5VAzTwtz4Ys+ps+3D
dCBMG3sEqottqujarT2r4IGWNWLaqaPOkJtWxGhbdlOmOl1qVG6bBEPIRi8FM52mQd610th88jK1
u8pX0RaIEj+E44TyRZvL+Tqc5xhopuzkKwGOxrGrmmA/0Tc8aUajAQaUjLpLMoBnO+uuui75wp80
31eOKe5EE6npOsYHc9YH9gAGNLbLlCWBG0xGdDGiptk6wCS8eHbsy1wRuptVOeG+U1avQzqgL8zQ
0hNyj+ZTlxUdxMU4R0gYybOmiZS9XtgkbL64b8VYmTdkaysbHFbNtRZppctYqzgyGe+PTZMcGDDP
6OMVLktjGt8HPUx3dpkFh7GIdH622FLOEQUdhpUG30cxsWZrW2qHaqIMLANWbzo6utVo1NQrs3T8
Q1or5ieEKo/oCOVJKuDX+fH9jZLgagArzQS+rtWraQ7R+NtDvA8ihqoF6jSSq8vpNqztwe2bgaia
qBu9oJ/9TYPYMXD/PVk/TtZF7PrXJ+vd5/w/py5q/nP1GjXlnxyyy6d/P2Sd32hXUMo6UrW/Hpff
+yAMWTpHG9pXzjd8oH80QpykDp9j8wGbMfZy/n5rhPTfSA7l01C5Ox9y3n/SCPF1fp4LkTiAo9VB
A4wpwJC/mKtquTxsphUQCB+sGnmM9PDr7fuXKZr6R0rqD9p/3QE2ZfOFcIphuP2Yjf2oJcmQ1Dll
Oo0EqEL3CDu2dZLUgI2VjThfR3MgnGxqtsSJsD9QWBMyILDZDDMOpXZsHfNs1ZbT7IEkVeeuVgjx
yzq6gTOrLHX09KabAlelsJg99oFeUQ5quUtCkt6QXKjbcSTTri4C6Q2CoO061CsPSCseB7OEENWb
16RWBtuShDa3w2CzjZQglUvUd6xs8wzU4V1ez+E7TrKexVYEIghUoKp4TjrpkkMFPLLqiVLPcLLr
mardoSxlWVtWY3XTAj8iEm7ezMoihxjDJ60k323Ebgalkem7g/Gir7Y9VerQmQJCr3Lpwv6TkWj3
eGzuaoIOgrz/ZBoZOjGzQooW6UzmQbHr1SkM470IgmQv6o7x2mgeB5GCecnQNQYFe68R8ptPsmIx
HWqDLR0qlnWaWuZqmXPVkRnvnDw8daP6GpoJLJMS45Xuo2ywU/EWpkXqTo7jTYUZr1oHRRor22zT
jqOxzTV/PsK6Pva+sh2zhEouCrZZatQuKUjsFEsM+dE5GwzN85EyIrMot/Nc7/06ug2NKt3GuYEk
UUn29bx0U4g/82bE0RBmd5gnj6GGilKZVPMLWV3Neqrx8KjS3IxENdGjQEHQuaNw2bsZ2MmxrM6D
jlNPxAz8E/bjiK9ALgexcWfoRM5oo97tgAgaoFgcSbuAyE6d2nNlgucMnHrfJ+O0LVL1DQLF7wLl
4rYm4++oORn7mhDr8k3JIpMt1LJnFBic0dMrByeJBdAW9UuihPvZVC6tsB7aUNmmoU+Q5FQTcw6A
QiMoM7Nv+jzfOLF049r3GqEg7BnwfaUSKVUr3UrjD2/k1q5R+0cxIzssgQwT8PMym/25UNGNRLi6
jFS9nvmivcjJ/EPerAtgU8pn2Yg3RRn3hT6fNJADoIWYKhb2fKBCtzdGHHi1ZTxUs1iF4C16WsOu
tdsjC6cTEYbXgR+LNbwxk/QD1giBfNZwx7v1IE6IFIP1oF9V4W4ChLMO505bGWRd0dDd22PzoLOm
GYMETXQYXOt9KVfsXCdU4tERJczesIirnHvxqVTCe5DLD2AB6f2HjRWU74SXHSpHOZCiicooNg9V
7GxTYumXrDIsm4Ko0E5vb/UhPvD7HQ3cWlpH1zBpabRi6RJupFbGl0wfk92oZBLhGMPfBvpFjT1w
8mkd/eR2pEhbjVB+PExW5GBEbehWCjk5cbqMB4BMrCrJOHfgsTj16LQvnT7TsqRQTVnklObyhMGG
AYTitL1nV779ii4YCrRhflIayFJ9Y15IESXZPi0JTtadhjezlrC+69IjFQIzG2nctio8Oq2CTxT0
7EmFiI8Ahu6yMoGJNhTInAgd3gDgfjLNu5hX3q06ZXatsckPtpaaZ5+hrzfOZYQqtXjVg5iROcJ3
HjlyWHXjngl7wt9xSrbBFJwYiM84/fybpC1eu9FZxz6gqhiShq+od77Jq6yVL02XeMBjdn3cviP0
v0qNOd4EPjBTbUifZdxtQtN6WaIakesj7AcvhXuW2Tw5dPYqtqZT4yNLwzwaM/uKK/k7ifLjtqwM
N877Z9wAW1StJXCZ7qVp9U1Z8zInA0Jw6xH8wCfCHR8NgR3MGeO7MZ1OuTPs2gpegTLEj0E4EXLH
IzqO597PcMH7xBal5m3bzldGYz6PoXEp2OLbev84zPVaDMBIrbnf9DpC8xGTLq+GlyOjoxgksy42
tzSnxmpMSZtp7WgfNGPohVpOwrJh3omZV61JBXvA3Lqv+ujQ4lkACqUy/AuPlQ8kT4ny6yia210R
B4/GRM6KppJvnGkexw3u2fGs5fz2yOdONtIocsEB5RrPDgQun8jh0k4QK9s7KjrKZT+jF08+K7bi
Mh0hK2BGztj5n9U2OfC3dqOZWTeZ33gJppumVPkx9eZAmuiuNswXX6VTmNKVDrAWFKhr28a8ASID
DzQKr1V9fPfVAUrcnL8gFmQFP0dnTDTbiqRfpHSzm+TFrmeKsrOdbDoJwbhISqgt0YvpF0e1ZoAp
ZdFu8gxkWaHrwzUa1HDFuFADzFI/5WpICq5qX6nOgNogr6pjI6xg3YZjtiFb6EsEstit1EB5GkqT
9wuyF2+Cy7fSEG7/PraR5UqNvD13mOSZ8FP//Yf67E9c5D87jJagJIc5LzlodJGOLUwqrR9LEDJR
MDDnvnKJ4wcz+ZQ4r7qx/f/7Fkul9YMZbuJdbCYd30KtMAVZV115NcbXf/89fnFR/vfXQDdMbaiZ
hvbLryFlN2WDEwVXKuYZ27qagc+N98zH/v7bLOLenws2Rwc0JHUJMUS3fjVRkvI+aVbSB1cdnU2F
tKUhtVepHuiFF+2A2dTMlf4F2XxdLQtepL9uJY5v9Z9slpfP+d4/WEBnTOyVQFH/O4n53j+AZXXY
ORtIvk2qdEY73xYpS/9gEzMu1I/osMXu+0f/gDsMwx3RYSYVP/vof2Des5a33B/vlUUobtqSjBgI
LZhuucd/fttbogxUckfbi9VwvSbYbDD2hDJ1rUp3tlZvf2bWN2yqBYYpCL7TlUPW2B3KRCuS8XMk
UTCSwl101Z5VYplhP44p4rH9dBaI7LoervOhvJRaEt0jOcI5EWqzhXdjbqCshPGLxlV1Q6wqFbzq
M/oJOIL8aZUv0yKpz6AlPxrfyhjrJXJcyXDxCPK9m2fOmxgF0IhFBPWS1plN1GwkOWfiQG4ZZX8w
Q2PZRpUfS69dOgNHIyw8WrqFsW9NF356vCXltPIGFgvbPjGFNyzdhgrJ/BMkrU7sEmcyZ0/76FEm
6cyjl370LqXlK6xF9VJB7lnO5rmbmpAhqyzMu8g0aYIQHNIPLZ2RKMOkvUu0FK8aYX7p1SjNUG4r
i/+eAvDX86A7INzw8bAcGsPC2qPt1lTv4535r8l2OUf/+hFduv3VWx61f9bo//Cg4ttYHBMaByeT
U0waPyw8BYNWXLSWxUSTqSZ3w7cH1fwNPpj8r2fjIz7023MKoYrymv9lCjTJSED+yXNKtOj/eFAZ
QnAaGFJnG2oQtfDT/cQb0DBI2VYulgGCPsUaGmHJylMT+T/slE1iTTsFBfA6DrMbQFTohCPWNkOF
/2LCMpHGLVoKxIElTyiEdvRycpigJ1XMmhi4vQ4ZNpB4fCnV6jx1II+JNjxBgq09vRhWfqk90GVt
M5HFbtCmtyNWgrVRaV9MoLC0vwTzauqNo1JxD7ZvIMqsH9XReicGaNzEQ3mXoX+zBE32nJB60im0
+5lTPekdZOdIlG62COjioCzBgygbtrVklKGyGxa5ne5riNy67BB+aPGMRZY3DzgBXH/UX8oP1V78
oeCDo7jI+YqmLe67KlZL1lhCZy1KS1MUg0OsKM9m30xIm9XOWleT5vVGPqwSJb7u4gmuQQ7epGD9
2qnx761lvflIgFZ+ZOMrbS8pkvimsDCywmganA6lx1TcWSO1psjkS5w2aC2cWpLtI1h3Fv3R9Jvm
UKn5ayXDuMboGRaqh52T2tjMdHlTJSBw8tAyKJ6Se5XeAGrKtGLXo7qjqj/lmKqh+BZXJU68EzLG
aU0MuZdbzpUWlPs8LS6NwJRBG5U61oGgiidWAxiWE23a0/iTm66re6TBEAv5vb0POJcP544KfNbW
/DyPAB+jAyRa4mv4863sJYMRwmJ25dvqfWqn/SYr0bQ4ZCzqWdSSlzBU0aekwejq0WTDoRUDWVly
ulEb8gxVEydQvHhX61K9CzBM+pDSVnOtXZG/tVFGuUMeeMNkde+n8zbpO5Jm5gZySADxPrsaHZQj
o1zUPP1aR07dDOwfY4PzP4PWbRX3zIshLNqfMmXGcFE3u7EL7st8PtVDdFdn3VPUip0YSZuM07Bc
mxX26TnSOPYHA8AHctORlsfMCxUXN4qZrovf4lFf9TU/mzIFhgeDhj2rJMl8trbabLzImrV+rvqr
tkvPc+DfZkZV7iejDU6aot9F3fCaK42XNfd1J8TaqZybIIzdErB0XkLrMsUn1YkHcgbiLZQ2AqVg
dxSado6a5CXrggiVlbkB8kUjUpVuWAZsWRVz5h06fHZ8fKhqNrizOV8QoV6xRn4kl/5YNAperBGJ
rfGqlarpqn58NwfhYsx9rOrhFBriU1qpwlPltKnIYF9HiXLxVWcbZ/mlQz7L7jJ/7X20/hqsZofI
8JXWp8c05Z8J54j3q8XjnO3toDtBJj/yL2dvHDXtYBXYdBCLpXIjIpg25qzk2W2IHI79qRk8x5H0
cgPhAaOr91lpdsBunhtn2AxOz8SdH0GzX/BfnrFBEfo5ta4munXbars6KJ8mCzePzED3oJg92bK7
tUWVMr8Z0nVda09RV++HpsZF1iMit3UsHcHesrQbmYP5nOb+bPTEMZKCtvXz2t47dbkLEwuhUvIY
y+QEae/ByhkhIh67bUPdhRh1DoGKJ2r3SFt3V0e8FlnZf9EzHjWsY1Evr8Y06/bBBO06jvpdKqtj
5chb3iSHogNZF9bsdn1101tgKruufwJ56c4AozZ9o9IIDSy8xVHRVISzg7LXJ32n1ss6oNpn87Ab
AJmS+3XCdcrmdb5p+6TFKlqx1qiRgvOWtWFEZU364Kv5C5awK70y9m2tvzV6eQgLcy+08FPfRHeG
3dwbukxXhkmik0EQRm+/JjSaIsP0M2fFHsH6aWpzoLNIqxsxnEOE+BE95phqd04a0GdODMmKCsQm
cha9jzZ5WV6h4z1Glv21wfu3NhHUCn9dmxyjPGj+ZMnLJ33vH5b9g84GQQhTft3k/tA/aII1KyWL
ybL2Bx2W+Rsee9u2WOfa5keP8L19oLOwWfJaEjWrBTPkHwlTrZ9bzaV90OBRgJCDdWjig13aix+6
ZuFrLRQqy7gQpabVD/gt0wxl95QJNwyVDmEGesro3NiJBlXXHNGPDumNqmjkE2hphgmF4cG6tVSG
rZPNvbHPinp2J6sHn9AZDcU+05UD9H+cDEVazMlNgaO0xFmK1f5lHGS7Zs99mcy8cvXFhkooLJbA
KnwtLKSKcjGrggoNSedT1iM+ViePkzXDmskd8LiGwn9iLYnrlXAjDD3phxs2IeOMzFQssr1RY5Aj
KM4azXVBkG5+1pUJPDlAh0iPfAZg6UDCHoNrP+/LV0mWXAA5H2Bv5q9FmTPHiYZ1kcW7KlZ2UYSL
cazzV1WrY1azUHexXzxEgfJFngnPPRc6OIhFk+Skc7L2U/9eVPZNRsXgTP02nm9Eaz4MffPI4NLT
sV4553+bhI+VoPG3D+Knt7zt6j+RRC6f9v1RtH8DvyOp6dm1fYXtfHsUUUsay8YPPaKzcD95Tr51
CDqaSCEtVIrAFr8mhH9rETTi03TJw4jSUnx86B+08j/PyJZHcVlTCvLbFs83NenPj+KoKkFf13l3
oetdLxDnoDFWkf3/InTB4vofnQj5luhGGGFBJVP15Qf58Zkn2LsyY728qJ3hPCRhpZjrDPLavONI
MkjLbvNO3/PYznfcs8GK6Yj+GNtW8FwWsX2og8k5CiuDqGPVxngdIrTTJhSJrjkFVoNYO260l569
vU2ScdX3m1gUuttzAa1MmoGrgSJbeFFZFtIrhrQjX1ph97GKGj9/gljueIY91+i68y9Gqg8Xa2m5
9U4FWyjKJMVb6yNZXyJNlZRFInCTodCu1B5e4KlP46u6ZZKfoTlfh841ktY3oyl/z8la9Rv13mLK
muNgMRSz2EqV30IpI88hLsHJPGPM9v40Va5G7obb1AKSY/Ue2uHtXOoXIcv3TuvvUnis3qDX8TMa
6cZ1gqQ74zqtL1VjmIc0cs6lkxECPpNckyuK9q7HDTlVfqhe8rYqPdZl1YqJrOFJqm6tdS5N3lAa
Srt3g2gmIiW3HiahPKV4Z9wiDil+2zaQFgRtGS7iLXofW408W1++REv1xrzjodbRbLqmnYe3TdAr
XmeJ2nNGdXxCWANKnrzddtUkHahzpZ5g0s+3ldnah1AR4vLDJfgn417JQ/bLVIovB+bOZoxpAZz7
Za1dTXUVBJTvFwrqzwMS+7v5zloRYb1ud/kOLFPogtbcWl7t5SvjAMDGkzt//V/l2V/uvj8IaH9M
x5g704czbWMsABNWxxr181udmdPQBcx1Lr4MDlMajuskICuzHHTJ/DZxvKr3AQhKEwcovdI5sGr/
IHiNzARJzgTi0vHVCRHr/AJJ0Nk0qBo3bVuS+je/WAZtckxE6sqfx8cqxcUma4JHLW49dxzgL4kw
zrBVjqBcIMoTthv79AO67UN4cnZLmuck5Ra/iFhVlJDoqXTchjleTd0tNDLqCxXxHiwmSR76KkG2
6vasnYixJc2sry7D6GjbKoBk1GjBQzAUO6Fl525E9YpmhTEYbzTLqaD+q/Hd37/EPx8iy0QfNLdK
3YIolLAq55dDxJnl4JSYNi+E5sZbDoKUXx7LhhKFHt5gfaVXAcf199Lqz95VSzHy06v5y/f85dVU
xt6q+yRoLliLnw1IYnSNhTs31k7PunOBzGkVmMxMrIrJRoody9Dz6TTXHasSxTgVkf2kRg12vkZ5
9xOWYFV1Zt53o/rzFyOoXoAuVC7a6/L47538cScLXvXvr6D7uf38H65hOsXL5+ztf/+v0+fk7U9q
Yz7n24UsJQIcFbeU4KiyVO3HkZ32G3M6ilyowwyzdD707ULmqrbBS1rS4oPqR9387ULmgkf/yGVs
sWNadDv/aGa3yIZ+eMNxJS91ORUywhmgzqR+/Hx8YMdiilvlxlXSp8FRCbLKvxvHJK+YLETJdtDJ
9posyFiVbXB0p+ler8E+GJ1i7BI06vtsktl5GFQH02NKvONIntVKt5Z0CkzFtgFhdYijepUQMak4
sXG2Zh7ZMVU3ZgYrLACe4cz2mxH3DVtsCC4+2hC8RmFwzMfhGOfpRrH7cMUov7tt+2Yv+9F8SUcn
ZwEdOihuqFLVgqOm3A4yuK1ETmawSWADYVD9Os/qXTuLi9M4bwBdbiLNvporey9t7M+2slWK5kkJ
7PKYs4asQrDIoR7thTM8LSt7WwkZChoPQWST+GxTo+uJViIODJ4R5+01u/Ri1UfEkH7uwuWs6zl6
k7YftlBe+Jl1JiWaRqpIzclpFc6xIrJjldQSb1Z6qfDbYnAOzlWmf67D9qoFqAa12AA4QLZ7MQxE
XpeHzEosxn3EWTk2kd0zXlMuSmcmnTlZBpalJlzNmg6zrzzZdXgzDTqQ6Tbed0FOD281M5U5rcli
gSiFD2CHUxRB5nPCRgPZYbE2tHreBBMxZ0EZfiF+uV5PpTDcXExb4IOHFIT+lsjPS17q0h3aNHQJ
DfpU+qHuafV7Z07qzkxMx4MNz0LbMF32TO/KiMmCU/aqSjuSWSLcfr1V3du1DZTGSXcAA29SqMKk
j2BT6Fk4t6W1NoI8YZ0eTC9TPh/sQP/dQj9G9GnsAAqcn/W6PADGeUHJcVPZyn1fi+ehRG1Rt+E7
4Gxqp4FbD7TzJWPenLCkxr0gGrY+w9tos7FGJoUYoww2sey+TCGmFla6G6tPvkysoQoM9Qs+LjKb
195R5Qk5LlavbHF9tcBaU3dYvGD8/kBiPgxipExjFuuzmllMa1vgYjJOA5dZfc7t6/PJyfIXnzGo
rSIfWioHzMZB4j6hgkGxQWuH5qVXr2YehpsJh8E2UWzYX2hWybaXB02LtTWeeqZufM6MT+QqDhh+
WKNaMCtd/CxMuQnVExMmNi0a9xk0/pVRFdHBtseZHZkxeLAN2tUUgn9RKVgHAAi2GlzBrMBDJMVZ
wxbCTerc4OMM3CaNL5XJRSzFI6rm6a4WSvKck5EIYg4umMZAT/h16dlEo6xqU0uwkQerXgdXOOYl
eexolFGJ2bxvJMlVVo7wRgxdj4RGR8ZTwN1UpnMiGSU7hIJ3JCSsuhQkpYya17pTtgL8z6oniR0L
Bvmfhn1QbM04iCC13aKMxeLyr18kO0D0TPbgEY9iYoaieWVQDQICQ8hGKVPoQe2sfqmEfIqzjBK4
4d8O9WBv8xm8dZKkxrbI0EE1hDiyX0P9JuTy+vpmhuzJZ3YWbtNhuEQ8UQQtd4fYqW/Cgd9aVYyN
CIqjmLRtlPmtVzhYw+O5ZhTm2OsRZzxnRscrNIMmQe0LtWraZHl2ExqR7tYLDwaGzpGpJQPEUt1G
RvIMOWDbKc3dnPQ9aGEQhCE06Vwk56arMcR2GRE+Vr31y3Jnds17oPmha3B5uCAFeWDxjMizPWb3
WROnJyfsr3P+oigqgNtlBWV2ALESRfYj44jNoJfHzrffxkKKVVpkB9oKtLxi3FogYP6tEL5WCNRo
f1chNM3bn+3f+axvNQKd+bKzo3HXEET87OxGv7v8b5ZhOKt/3L8TtUBJsRDeqPqNr8vAbzWCQxy6
ZfIVKRSYshGz+g+a9mUN+EuNwNBA6mCt6aRVZgS/1Ah95ywZu+ZwNTGPsryw99GDdRZwhmCiFk6l
f2znBKHOFPd98kl0Ao0bi8Ko3ZdzpBIlaDIwbiZnmL14lO0M1bXMC7ikORKUL8hzLSisZe3P5DUz
0gYuVu9GUwTOu6Nmor2bmqapN0h4dN/1p3l23LQsBhNPk7KsuCsT2yD42mQAdzIXQofc2AWj8DIZ
1LOnLys9ep8PWX2CkFEl6Wlb94FuPKQCWu0GQuUemQAHTm7q7a5U+mk3alMXvw+aPW6CGHOCFwRx
1noQg1Vm9GNwUHw7fY0we9MeD0LBWzT1npJixeiXREsnpJ9RMzSEDOiM197AHzHPmbZt1Yl+yqjI
CTOm8N0cFMIecvudSkdftRmNt1XyMZDtLO76DtCDVQzHMADjYi+HahBlckVeDsz4WmFMZ1kJp3Sb
QFQjdGVVq4rKWJLVHTmd6s6ukVuzhs0/C3txHcxFcChrJb3W6RVXrCKdrV3mb4k1G1stJfwU5Z++
bYo28tRmydQOCJTXjS69ZufQrEkBJTipl6usqgbPVgoqOFt7C+FO7JhD8rZYMkgzhMMeemhyPU3l
tUxgK5tz2q25Xe1tSFKshUcNbgYlkpVR+CGIhM2ZttLaFkXWENesxq5UwvjMz5xhGDOLQzL064jw
R5eamSPfGqYbx/GN7eBg3mwWcC8sP9hEtW6vhs4H6THX/Ji29pTmCariirDXutZVNIXgogqGQau2
BHzSFVq8BRVY3QRgk3HRDu2NFVGRzJOoQM9ME2b3QqabWXVGr+mZxoAyKb1RWESGZwA+/TFPdiKF
DYKMI9v9e2x+PTZpt//m2Cya//yfPHhL35o/6a/41O9nJ9olGivaEMnM+SfKJQYzJprLfOYjanqx
pX3rrzA4cKiaf5gf/tAuyQ9ZE8eqAd0Q/Pg/0kQsI4I/2vmlS8NEsbR9SyQOiLzl4z/MIZkoUm7k
TnzpMBgbrOTDrV49/vCH+bOZwS/xNV+/C6kHBpsWHe+6sQwyfvguFZGjKJSM+NIWcZS6ha0Se+xA
nUDvIBMv1lhBFtS25OfYOTLjEHHG7B972o9btQxv0gj0sBFGp0FV6Z2Egvjc7tJVKiJ1rQbhfpDZ
vutDtovOruzESZ2HmwYZZTUXx5GVOYqsgxonixgbBEOsVs7GWo4XIhkmGjfnd7JFBiajGR9siauB
mPAeMbmCQWnCyCC6AQ67z+ePFsxeZAm+eRiUOdv6w2i5rUKIbuwwFwRLza2RtDmxZVL/5GuOtbVS
Q3uRGZxOVpYUYmoSml7YVWXqFRPKkoLAGGhTACV3gQMXjvUjsB8qS/tiTs1EqQPaDvYECYerVis1
+9MsK6KBK5lua2U2ja0ohnGu1rg/VLLpOyNrJx+Go6Fc2ai5z3z90m0iXBPK2B0LJd/aVFuu2dGT
YEWDg2jZ0U5L9eTQfUyM+X5Mj42PSbL8mCoHzJeLr5NmgeC5WsbPTm1ah57S8Jn0Jv2RbS2qNybY
d/rH7NrG30daiDQGZtrcyKQPD43zUBQ2AFI0Xx5czGVfjMU97QBmMqyc9r00+ovTdZbX8jc/gXlr
Pjc02uMECGgabblyqmivEA7ioRNkRwVK/XbuqXmJxPacQji3uN+IHImhTdqTg2OyJN5wTJh9FwI9
XvSIQbw/8dL1rllFs1e3LLcQrlMEpGN0MCGsexYtw7ZtU7HOHV+/NGHPdneqmq2p9TsMFpYbjrK5
CSjyuWGyc5SnZ7hz+Saroxu9MMjF7GLXN9NdEYEmDzT1mo39Ha6I/iHoR/u9UEdmA4lrDqP5XkSd
a2SNy6BQ3KtKtwnMFrZ5kXiOkm0Sm4p9pHNpzPL3pmkRadVvUzx9YhXm1lp/cJAXM4VZWfq81Ufi
Kplgaw5uZkMydmPGW/evqtHRwiubdBDcPwAau+kLRBLurS++2gl3MFN0HRYE5sTonw0zek1nU/fM
JmkOdG+LAH0+kcS+1wJ5NtEaDV3yXPLyNa1GTW9bnt+bG8jau06dn0e/8VCny1WlVisN5CWQ61zd
A9yJXTHRDFjWNb/jrQGf2h2jOaBXx12g92p0DnUTWJcvb9qUFM+hao+BHHkzt2KbViMgAZ+70c6m
o8NDpKIhkk5NpqR9skvtpI/FozK368Sw7sBA3DBFPGFPXffSOWVdfxM6TApk6UkfWiyzcZbzCfHK
4VCuu7oooEmol0RJXopEvGCFOqAqORapfYg7cTMPLCLg/BVpejb0eF2l1XT8v+ydx3IbSddt3+XO
S1HeDO4EBUsQBOhFTSookirvs+zT/yupT90kWy2F5j3p6AiJKgJIZJ48Z++1Z8ehFqNIcKFW1qmz
7Ty0Bw230miU9vLhzC3naVfPRXEGd/U5nwI68Pi8l1MIitwajXRTe9UmwAdzNU9Kvf71zvuTeEXN
RVcHMVmlf4aW/sP+Hk0a5nU7A+JVp/qqzzxi2/spXRJllZ2L3MB31gMPKKOcqml+0aq6vazrVL1x
gWcsynG86prkXB2DZeo5aNHEpo7sb0hgwmVVEcsM9Z+QBpkKOrOmsyAGdmi1/kBBSvcZE7Hjii2k
uK/QczsfR/2dTuTjqtcEkHY1JV2r8Ifab8cdYyW6E0Gx0ZJmo5s9CUflps2hcmT5deckZx0UxbnN
zuoOpE1VnuPB8DZimACDTfFWx/7gt0Du7QDCWGQmm5Bzadmq7ZU5dZpPtu+ZGnl8r9GvngdCE7RR
xlsEKCaaLNo/+qQfTaQbgMUI1h3j9NBX80XUJrt0sDbWIOJlnNW7oEjJCHaZVeQuen/gxlZYnWch
Ciun0I8x6pSsy7ecaxD/KwCw5dSuy6Q5pkl2ZTo4Mfqih2xRKLGP2GgRNM0pNtp+mRNoTP2X3KJn
wSg2xo+EmexjOWsYWaAuDbA0rSWwc6NVuSQbPCT5tMwNGPeAEwb2IaMtn0vPOVdrFXSEpzwHmj0v
KmwuXMRHYl1zbadUci8T57Fjf9bVbK2qE0xXWicEy2p+0k4pVvLwiFpLWwLFkjzmxN3C/OzuEFoN
e6bvzSGjkt39eql+nFZRiNhECLkOI1yD0caHEoGmxIB1PIedicXISM4avfuNCfO9zOJ1DsU1kR6o
BTjUdaW+/G0RYthzgQk0DC8yjHyKfYy7eBtXV82QsBIyP7ZrbGmrX78qLqDvCqx/PlW+7jelT1el
ojINRTmoU3Ft6TrNav6HU/Ezt7tJ6sYSH6fnvR0Yu76DE96PaOmyYpDg0bj0sV1+LhXnPBam6re5
1CcO2lc3wuKSq8ktWqZhGabT3snMBztIxzMtM+yO1VSUq252ipVbKfVSq3qi5opp2nWjY3wtCzK6
aGIbqziOnzLW6qpW7WjJDjwthWurPlfq686UwkIlvaVzpe/y0GDMLJ5pCm05lG7aplnb7dAudCvZ
Gmqk0GimQsmGothMc6f6NQBXjHMWVyiQPtAtAKbHQHqMEC6LN+1Z9N/qdtAXbRUTzEYK2WDejHNy
b6rpmSVKGqaSlxUHBjZ3QQih3Vm7dE72dIaXxRToSyNTVQ6YlF1Wve9VVG5xkh/caNwUzbDqg5kV
rK5SEeYY3iumuFhCqzlxl00WHCq4yqHlbLUSfaAbjtco4SngKuWmE+DDDUOo/uyIDaNpFFxd+WiH
9aFR88sagT4udea42llvgV7sLWPr0FxcVpp2W0zRdgwg//ZNd1HZnJGwynfc617cWu18JLALQCqb
sDLPHUR4v1luv1vj3CjerrbBpMTQQbcdkvPiFF4oa6R1dwQB7tBhnrscPf6TPjDs1Q7Fl+H7hO1f
B700bd7eJX4sdZRCiKzQT3gfxBMo9N0iBWV2qJYYTM91v1p3KIf3yr2zJhfr9qj45/f9iti3/pH/
ZBfTubo4i9fBhUEi1m9+m/cXm++/jIG0wnINm2uU9cGTMakDPW58sBfkk1VGtojV+6b/fvX911f8
fs/65zM+TNhnRLJKFGURh+tLCB5ruvz1x/nT14BcnvE5fTRaXO8/zXxEDEq8C4e3cqqB6jQWNef3
Heo/0aBM0Pr36/vh8fnlZ1Il+VN/3dxJ/2JDtsxXqwBTyDdmBnwO2MNMlxsbEA5AbH/d3J1PyB3w
M5gcNcj6pAXiR9fT/kT4H/YDfsAA5PZnk9GPTAEmoy7IGmREaDtUR3XlL/H2y66o2tTqQguPAfwp
R0KcRUvKcgbXmfjO+wrOczUKbzlDfnYkArrIQ47ubosy68WUkOjBs9gZB8KynWyPtgJNhJccClAy
Sw3GtNyvF0Jip13400RewUaMscKbcfWkdYS5C7e7EF2IC7t/sKFYa9CsLYm1jsPoi+1lS4XLwx1H
ubotqN7CfAh8JyB9lF+7XHeQsssYZHao6Q/g4sg0lThtsL702xTbXBO+8Y0IyhfsTYBsmWeu3DIh
qBYyd5lGl2DKH2eI3YqkcXoS4l1a3OhSuN6WBHx3gHThzJNP1jrlVxcKeAQNPLdUSN4DL7GTqPC2
0k4K7PAkI74VlngioeIJYmtuzPrJSpKTWhjjIo4z4Q8SRp5RXWxsE3Nz3w5PULFhyWhYGNLIpQUX
Wegf1eSm76cT2keg1Kog1NXInPMh965beOh5rl22xdCsk4yMAQVmegQ7PRLjviqJF3CwfkoX6y7U
Kqz7JTMadIrlouwsKMlx6y6JGZlvCeQotl5pdYT6OAljURDu+NOSNeE8z7SHp7Owjwg9LVRmZRL+
bgyusqrgwds1XHjTrRjVBMHlJKHxUS289RRymnpZ7i1CCZcvJGa+tJVNCXdeiR2K2PoLflVw1KEh
u+ERl9PQAXsMt96RAHsTqjwo+wAgfj2vHAfMPXXxk/AiuPoSgQ9GJ19lEos/wsfP4OTbYVMd4rSC
ohwC0Yf/s05isPoqfP040MSql8h9Xa+vuPhFS4fR+jKRYH7sxNaFKmH9DQprP+zmp65RjUXVki/c
Sbh/IjH/nQT+xwno/3lyDwxfvaU72i8NFLpV42kXxSAKtHYsZe50I2b0GBR9SF8K18B1QdJA70i1
P3eoRes62Va0Y+a34UCALxEFAbc+R4YWDDnSW/QDzFRlpEFNtgHa8pHEiczcAit9gHfwldvOxpGB
CPrYHpRcAaUPxmNhkpowk55AxhmypcGpyTFrPQQx0yzMM1zYmkWBbnFjHRu05MZAdkR0P4Z85/XU
LWmedCoCiHE9GcI4OUP+MBRVC7U7ZqTQEoNVW9PdyH2bmxGDujFWACUBFC9L3AZpWkIG7YbNkCES
jsuC+whSCC0K7X1T03yuXfK1AE3fgKc4NnYFJsNrQYQU32JRX+tGtCt0d9+7JHiIZD/P0Ubn4hwp
0UFNmO2XE01tE5DbLm/MK7XEyK/x767rUdu7Bl0fLoO70oFLQu/tYfDCbTuYewYE3+Cordt0kluT
uSqDfDorlelRl0VejYd8UY9iWMRTb5/Fs1i7YzjCnEwcIe6LsO7L9RhV5uwTKFBeG0PX3nGVHehM
6GABbLXtm62BGelLmJbWmWihaZwIagvdnagV80sQYlo5JCT2bnJgfsvOC+41OhNoE3WWRhBmq4D1
sjVLiA9DwvB0YN2trIpLP6vwoYOyMacMQWgTbiN7DmAUMtQc4hADexlcuvN8HItO+HM+zz6SllNm
h5TZGjtcXsVsTynwlS5MvoWNc9nYiEcgca4nvKHbbEozUlmcK3o89BP6u9qCFM63eOMG+C09dFa1
Op88M9536WT5VaU+QlAElVsM8L/yKw06Cv6QoN3WmRKz1oLjlKq6Pwkie5UwIVeIaVG6KyQtvjWK
R6fso5WhQ5J3QMrHafJVBzGPy+3riAeoAH+ymIHQByY0evpxKXNzLFjjeYEaFSSKiyChmDfctjZK
7x6hR8TrHsi9Dex+zgUXauj3Dhh8jYJtoUkyfiYZ+U4+kN+HmjKS/PxGkvQLA1YEmSSkG+sxblQc
qxPgfaNXNT8fmHvoQPnjhIzzrHHOg6o+lZLbD3iMbjNKjDrSL0zJ9rdCEi2aBto/2H8AEqcyry8U
AOx+qdrIbPunRCYFDGO2H2R2AHeyfVDN91btMpOJj5NMGdCJG6hk7kCXVOvYUwk+cL+AMoo3xBeE
vq2U2qJDYVTAy/LxqpE/hvOG1hSQTYMZvvli916zHmTygQGCJJFZCEhpbP7iuG6ISTBlXkIXA6CI
iVDAOcb+jIYn7UmcUeJr8NKPdefsdKZCKfDiniyG1OCjVqEyNwA/2W5wnWnhS+J5W4sch1LhTwOS
HUQP452kh1yPNq9l1H/1pLSP/6qebOKfDdH5oR/l5KvQDhcKTY5X6C9/9EP5riO00+FD2ZaHNAqD
yt/lJBlpuor8DtiV9z953o9y0vkk3e0mJg86GibDlT8ZoqOae3d9k0I7Ugs822SQzm/BP/i+nHSZ
NUmY1HwEQnFXG9Q7Ga0KjHc1/YM5X7u1vYEpsrMmhSaFd5eX7MVqN/It9+ybxDUPRil2eZIg6HWD
duk4ZFytYrqrt1npwSPU1ctQKZqdYCMklCdLlK86mg5m2prRAw8N+nz0LWkPtDMn2baCMy/vku5S
Ra9DIoN9PaTyrk7MFOQOJqGFsawivJL1WN5Mk3JXWsWtQUm0UHX2ZLWhvlAmkjLdM4CbS3KLnpoZ
ZE+KUzXEr1Yl+olt4U7v22IZCb5ZgZBdvyalbii+TQ3AvojoXHAi4RLrIlQTfTwKELF1RrFg9QYB
z2X0XA/5vBQqLWxvdFehKsg9KSMNN7HtQM9TzGk3jKXio2zaa51zNEiU7bRoP2OdhRvgoMyK6JHr
/b7pq/tI9R4U0yGJIzMu0bavhJXfpTFwvCaZbwUc4r7TqgstGDgrym+6ih65ia+8TlakhKpWYY4/
bcJZChi27L+pDSUpjmLH1w2jQ5yFbEdRsMQZWYqFVKl8I7J9DLj6MtDpUFhc4486WgEmyzXtKAFm
gxhdX0hifJkwdMnRB6zcNJ39YiTHEoXyUzSFZ4WBGE8EUOQJkvMLV2fHMrZd1xyDrKHKorcEDbKp
KzQMdpdvhJVxoSBrZmeIxm9b6yBG/LVGCVQ1Kvq1qQZfU6graTYSVtZR+BXjY2iDneHfhDfs0YyH
jjVEyKoiQ3lUmzDxmx5AlJbSXEZOOaWpe0DGCqhIJbJM7yKb9GFjW5Fjfw1gxbzQBU48TQ+ZLjmk
CSNT3oKFmgmpyUyOITAyVOsberVinbH+8Xq6bKrmTqnbOwa0W7XT74ZeaH4YtepStLpGL0NPzhGP
UN6BaVxFFmTYoCdvrRiB8ximEmwmTVMvqtHQL2Nd1qdpv/HMiv5XeJanLXbZWn+krWEhxJviI9p+
4uRAXU5uvu4ELgV0E5lvDcXXqS3Xeh9/LkNyATyRrkJCgqEPTXg1TNJ1xvz77v6vHY8PHQkp4Ge3
wY0PaUPCNT5cOStjJAYA9+Uxy29T89nCb/27RvBPHoGuHT+eitJIZXjxfhuaqnBsk9g2j2n7tUtP
U3VTeOf/nVGvkgU4Jr84o75DHJrisXmOf5bNKX/6x2GlmZ80QyNC03Ot7+CFvw4rjXNH1enWq47k
4qicIz9UCxZ/gt2Dg4oP0KYF+HfvwyB+ndYH/Yr/WS3/5LDiTPxwWLEC5bHnIPmyODrVD603j+E2
KFXo3krq6mzFCJ9caOM7u5/qL31jcFMS2DnAxE+K4/hhSpw3wpq6TW6nJE1WHkwxrEAM6ZdMCUMm
i1RX/eU4uOX02GmmJienYEw6nblwn+jMvInkkxlOlPNM+B2tnnfI1Zuw3QiEjdG1K7iQNBYbIIYj
hx7DHM7JTU4a0i2MvkT3Myb8eCXdHM1qkkTrCgHAXIqsxQgZV4vM6py7QusJ1cLV3t9VuScl3SSy
Tb5ZAIvyyQYtfNTd7slI++rByOvkQbEqawsCBwqg1mfBEddd6C4yN4kPxK25HZlec45MPLYD3yt1
+JFq7udG0h1UxckvHLvor3JIKtSLqW4i3Cz6bUdIJfj+2v2iFzmboSe8csbW39nI1tzYcvxEy5wr
hUzzGfFqHm8pt+enXFeMZUQiaFv4k1pbDdB5otcAXJlGR4SF2xtiYzV8IO0yHpX+QRCgrEEsRgpl
JloHvTj5zjLGTC3Jxoj5UNJtvdDlr01VE24cVcyXbdNDvPGK9tKDt0MXBXDQImvN6Aa+/oVntNVA
cgHv5qnAzYcsrlWp1sNXvA7HOagdV1J30qzVb0avy9C22lJhMRRqnG3VV/EFzh2EGDWYixF1e2wO
L/bghi+e1HN0wgjWWRwh9CBoGzCUVH/kSuMsARu3n1HZVw0pqsD37Vl8n2H9V13LL/gvquuX4rl8
+ummJX/wx6ZFhQ2Hie+hzun2agX9a9PSTdnLxaRMNA4Hixwv/m/TMtVPKscMNS8nKiQoaUD5UWED
AGd+oKoQW3XrTzYsy+ZfeSO0Yv6gWoYOspYiG5MpW9P7Y83BrOGi9lSOmgIVRRB+oJrzSzAgmkkt
coA7Q10jkFg3U5hnQEur5sprcuVSd3rFoDopC+cqpOnjYq6YiLtpteaeHo8zPVkK8Qc2Sezw6dCF
J4T1ACtz503YDvwfN4gNsUgwkaSmHKf4uOorxVs3CM5htKpPYY0GvdbHal1KXfrQoZAHhEcCQMnf
NaR+nb2h+VK9atqlun2OeutsKJyzJGnIzkSbSnQSczxE8Z1O7O+oA7aXenlqNJSgsv5CSj9JTX3u
WCs4//2FK/X2eQOP05Ma/GbCADJJXX6TMlorEbwYk5euXISzC13q+Ge0CroY2xNGTmIPJpE9kGEx
XWvafWySG9wq6UVch9GSS85lMguizzENTCoJJC6MB4LDn9qYaDyXW4spiIN1pefAke4DQTbdWfHq
SJDeBLpO6qp9NSwAyQTlIl0MYColzxNngyk9DhZmB/JtDV8Q8VZLH0Tal+PlLL0RRWumlyN2iVL6
JjzpoAAzyQ+l8xyvIdXh5PGNIsOPJG0XjTRgzK9ejHE03SWNRhwaSYRfHo5OFVyTDl1t+tcAIBZ2
sSuavieTAO9EYCvugd2J4b7wgkNq88PFQYOaeMl++pBFFvF3hf0YNggGhpamEhfKh5TTYhWI6pvq
kZkklPA8C6IcysB0zGhS+tGUf4tma8mkVhxBnU44k02QuI2bEo+IGVnp7V3T186ZblH/9wnHWoLd
QM/zjRnxH6+hSzZanbswJ0kriztYA9ZC6B0Y3qYfdPPQW5VyNgHa1UpEvSfLauk+NXT3VPikluHr
LSDzCirpOfZ8WvUstCPKVnvd1Fa9t02yGJSypDfN/BitSbcBlP9FFuxC5fIx4ew5G0YYRlkfamvL
DFzysfO1knvPutKS55Vfll13GyjGoa0cpAa6Ul0QKD3tdIkdC8t5q1hcfHIuKTdqEgQr130RcFfj
DE2G6ZxPUemtnCTa1OO0sunA8ZqP7lScW3n+Ze6VvaXF53lE/yburOBQuLRkc7sy1l0UXkfTGO6I
Ad01Sb9Naz4kNyLSYyD3S0mcYEFf9zHsBr6Bdnwc+5K8xILxnyL63Hc9sj3tbOcJa+U2zWPeoCZG
sIRR45vtxGwt+ZpwnnWV1r7acz8IdW66XBqiKtk5wPtJDvcHjZivSDCap8V162bqUTe7Wyoil0Xq
lTYTJc8+w1/7raq1K2vudk7nLg1o0gBNDTD5AGiV1EdM/xjZxsZu+lUbovNKLPfUpsWVW+rPXsp3
OM+MF+FNV6ZCtmJeV4cJDLSSmn7FZ4ymBPsVQhzEM35PoCn6ofwJPfPNINejliY7bKOnuRyPuUtb
ETRNMJZbJy99NlLyQSz1kpBdsgUnX0dmVQTdUgFXBEZjQ+bL1kHHkFfJ1m7HtWJJeZIeP9nURJlS
bRUcUWnkUFeURwA27qpQyw25CYhBuvCkCww6fbgdVXeZl8o545z1lMW023Q4siM8ofwbTgk/wJ5O
g8YPRPbSZC9l0F2RE8mKVEks5gI2kMNNQ7+dgfmbPIOLrhkQoWi6162w1yaoGiscr8zRu8mSWV+S
HIkVZlA3udn4XuCxAgNCYR11DZX028QomB1uzbzLb0lNtl2sY1ird9y8t+PcfFY1QVKKe23b1Wc3
aq9CsFFd/lxM1UutqggtR23hGPE6tqt1GxC9G5orMuv90IgujSY6lL1xhbv6m6YQHd6AzR4I7FHV
reL1W7dV1mqUXSdEKwpLuyWhaOEEZD3YVrUKFHIA1G7NV/Gi9dy1ZrRnRgBme6xXkHhHUozaJebg
goQJ/Yks+8/8Uwz4YHdMUHfIvsNl70SDT2LFY1u0tA+UPSH1u1lxUMkCMeqbdB0pHBKwhWuSMyfa
ALaz0QUpkV3xRWBrnCoHdpGDQQB7YSmabeFaO3XMoSxbHrKy/vPQqPdlk1yVika/eiQ0puO981Zh
IbaOsFidDrSS/hJw4r5CCkYxfp3FztYdg2Mg0/3M/KwPNCg/yDiKLl7n2XSqAtn6HTC0u5dJ450b
2vhQ2Uj8GropuufeBo1N0doei9a6wqSnwgZrrzvuzn3FwKWZiV+ysvPMCskxqNXFwCSykRvVXH6e
UrHXG2tTVRHf7MFPjMFvB9lWhCFVFbdNNZ1perlXdGI9CXoNvmJ4ya5bDAD+rIuzhpHePAx0cVIO
nuSZuc5tInJ6xujZFp4jHqTvXQeYkpSYNWPt2c7pVIj6c9pEOwC3R/ZbjBZNSuuv3VtzzPeS5F5/
VrWHyGqrtWekN3kjCPQY001qaKckdRMsc3R5ysFYoznfBqntD7qSr2KYvz1SbyccCAKcdJk5SOpi
cWI8tUmC8WwspudKQRpMtKogoURSZfgGtEzzemfVdSEsaQV/OxVCKrjbZBwS+Gy3veI+9721Bk68
CXtnHYPEpwPD/tMyzwjHeT3mxX4S4b4R1g1TYs4aQaogPnQRpz7pq8pZoZusdTr08McbrdxlijjM
JJ21TfWE3g+lY+sBkwG+bNJ+ylWOvzcl7U9k8v9sfFhIZ3SbiaEUz3xUrIihaQDYF8pRzRlZposy
vVJo/f/6IVJG97fe/3sZij6HBpOBI9HQPzRwmLar4AQ05Ti6XxvGft3DWGLRAx//u8yDnxW8b58k
f5M3wrcyKCdtDniS7l5EJqlHDtTCGZjeXdJ9iUv7N9Knn757fJswGKDroZX+/nE6U0w3yMrw1Ctf
RLevw6cie/r1e/ezV0S1TLEsmyKwmt4/IrCxs3pTFZ16E4fyppumVUa8bB5uYjrFuvgNwOMnr8jU
PC4tdFJohX3kNcvJtz6pIj7Bv1rEBkYgGdDwm9f0QcIkryXvHiL//M2n1AaKAG7GQxJ6JaI55wa+
/PW79ruXIf/8zRN6MYu+wVB8YtJvI2RNy5sA1cCvH0Jj6eOyfvcyPnw0VTqlVZ+38WlUCBy1fC8+
QdJlg3uwUAS3R71rf/PEn70sFCd4pKET0NP60KZMgQLFRaLFJ6e+BOrtV9nO+UNi9+uHg3/SNmF7
6NguP7x1AYHwtts3yaloo1VOQjJo9iG7/fO3DhgTDWSyiMC2fnhIOUSOE8dgupvqobDPI26KCZuB
F1wn3d5EAjAEl79+olxTH/Ygtri/n/jhw0LyikRem1DW0NgHwwVg4jebgWRgvHmE9JRammNiccBf
ReTKRzVxW5qYG0ctPyXnzJt2HJ4HIAIr6zK6svxiFa9dX1n/+lW9f+TrzvruVX3Y79BM5SN+veTU
22hiiRDUwRHr5fbXT/n5e2fylnByWiB13n+b7FmzHYHw9xTUnq8jonDFb947+e5//HRQvLHaAMZL
cND7J1Sg5tCVAXJ1uPpOrk61+SU2SXBPkt+8lp+9Y2+fZLx/EjfisiGZMDlp1kvkXlrBdT3/Znv7
+SPg+mkeHjssx+8fEWtp75pzmJ6K4mghRh2Jb9E7+zeH6s92HxbbX0/58NGnTU9yBgk0pzh9yhS0
/8oKHqWVdn4qTkq6yazffEb/eFn4nOEog23hKGJU+0HcSjyWQ/5ymZ1Ev6mbL4O9querP1xoHx7x
ocFe9CFvaFRnp2EuFpoSLqfE+s3b9o+1/PoIqZLEhkg+0odXkYwjqTLctE5t9qTMO7I+f/OAfyxl
HkCILvMqi8YbUuD3nz5bpwPwac5P1Hl5h9Qx2cW41wrv5fW9+q8rq+tvFs0/2EKHl+bp5Zn26ytv
aPf8//8fhB6DcQw/9VdLlu6qRXeVIRKeC1vi+f8SPWifdJMxkkc/lF3rTUvWwDJLJSyhYRrdOr68
f7dk0dAygnQAAhlQr8AT/UlbFuEtS+Dv3e5VQ+uQ76CBL6BmND8W3Yai0wup0/SoqaZozjwRV6of
97mpoItLHWbsNqG8PhTsmmjBdNlhNEX3vR13OyjBm0KKJ2ULSrh3dHXA8cX9jWaYzV4difn+HEg9
lS0AxkwUrj758oitUtSGOPW3lW5hO0GSVabTcVSynnpFfwxYyD5O9X2FjKuwR+wTCLtGBF4ktc/r
zh3vEL0+25VzVRkl/4AxV9twtJAFuOXWbL1Lpk3f+hJ8dp7k9JA0VGXVINLbAKEZQYZk7JL55Kej
dnQRow05EYS21KeFUqk2Nu62tyuM6emwlck4plS1DeXUrXqpdCvLul9RTCTbygCw5zUOKVNlgHCt
jj53aS2WhVWRupMSYTpXhJkaMta0e004HWTYKXN3rsA1ZlVILTIOdZTBqFEEZS2VYamtjE0F+BRe
OYIoVVuGqpYyXhUIqHWMEVf7oUb46kQKay3jWImLL5GxEdFq1/g1GhnbGr0muIJxAzZCqmvgEe9a
yKBXaDrYn3rCXxEbkAObyEjYgJHO3q0abn65N7Uhv0NRx2emo9jazkvpLK/1QUYYOan2VasNc9l1
ysKpk+QQQUAEUIIUWqLBwc8szHBeq1Z+aYJhGYheKhniNekLuuv7uk3PSxVBbu4Mmwy9nU8+xaHx
lAMUcBYSvEOrggofFWeV3jzoSnqeDPh2az2/McJoWInIfTKRtemhc8FoDgVhJJwUlfIEJdowegOk
kBUl8wEeB+FARIGmFRxVwyQcLJ2iXZcznRwDug6jrburfA6f5pFtN1BLcrY8OqQlVBrcOUVEu9d6
ovPcAHBTUx8oBjFUUPQ6TSydfLoNRzEuQbla9Mn6xJ8mWveAsS6EPeRLV7WQLIZMOlUQq2PM34RZ
tIhotThcoPxUlTp1y0t9dzb7DfPPfqmOKlh+Yi/SBn3vVGE9VVWxt+Ox9+nC6qtYYuFV+PC2BMUH
EOMHian1JEQ+KFpnUcOz8GIJp1KBzbdQ5/MgfAahnvl8u3whwfSJJNRLVP3U0wxXUeB0EmNfSqA9
DQtv7bL0VQm7L9RGwPqCTQ7lgoYwatPEKdOzQlLx/zs/vp8ElHS/mOrhRqSe+8fxwQ/9OD5ewTMu
13q5NTO844/eHB9o6WAqkOXwOrj7e6KnQatxsBBa+F2RI1A9/W+g94qkgfSMno6pEmGTfySZk/y7
94cH/FaX7GCNIFZ8IK/YgzdX27qsUWhGSXSqOzrfW7K8UHBazlGDG8JyD1/ZL6CPJQimq8Bz4CmQ
hJgJ91izJqEQcszwSpEhnHYLK8UIHvEdJ+pqGIpM2TOthNsMwHIi0gVXV3gy4U/mKHzNqOp9rdNH
atrZmrPYz1ovkLSSwjHwY0w2em92NY+GfjN1zozFMSa4zkEKTX5tYikLY8TPv63Dxktg0LWcAfWQ
NccQtTatBmManFXoothepC5E/Fl0youFxmjz39L/LsVh1f370pdSnGX8Ev4sToUf/Gv5259UFw6R
rKBeh9B/L39UOJaHX9Vgibu0H6htf6hwjE/UNTQm3iSt/Bho659oXBkSAUQb60/zVKhbPnwBHP4x
dKvgy000JlxI3hfYMTKWNsqEccDcC/bL4vgPWXe2lRL0ixpD97V+djhxTbXSUXIX0CG6MliGUUHi
Q5c4j2kk/Re1H6r1l8TJNO00aC2N26SfKnwzfeEdAQvOZ6HRZfGuFpN+w5hdsXZaqzbKwvMUccwD
IzhLJ1vFWkFxpV3HjpeZe/Q3WfvkFaE9HBqjwjxHEMumt4vsJejreFkWccco3nS7ZKMmrrb2ajfu
r0Q9iZ2Z6Rw22BnSeQV8tvsym1A4OPIjda9jB8AcQUCjXxQDiXkjI7mmbsSqU6d4b4nJPA+CuSLd
gAnOY9cWkYcXPhjA3JnoV1PiX0+Rbj2irv3ipOFTYmOLYT/L/cq2XiqRv9iQLBjC57X5TJ/eB5fi
63U47IpZtdYiVTqufLhoe12NY39Isbe7HjZmsKDuvabE1dJLh+BpjO1+i4KfhGsliM6VVM+3qdY4
F07djbu5quqNaUE1bHp0KnkKq9lyKyywDWQIr8cAEbXVEjoxE4c2WLoi37udRxslaJwDQTrzLjVB
qEBPIVsGBp0Tk4fYhDpxiSAC/bLtwPWBv6hc78U1I2Xj9vM204iBQN63mYJBLJSW2O4waIj/M0Ek
M7dZpsOMkx6oCSwP3BQYrgQAxIvUGIkqjYAHe5k1LhtizFcJXvajGqbpNe4I4wpVafGSqGZzltdx
cZ8QGe7jVmf61Sf/wWT/d3XjG/zvu9ah/JlsUIKn/9qw0Aby/ePKrTP25Hx6s2F5n2x2HFDnGuA3
uiV/b1jIbDC3qpzkXNORutM/+bFhOZ9Q8rDN4ZjkLgim9k+ue2BrP2xYFAQuDUHMFWiv2SLln785
sduZplNndfZFaBB0Q466WjFvdaPaXCojEeGkegSdjkAaSVzGkg+cEglJjrmni5PXkbmaHdwuVnMG
pCHPCP0WNbTJALSj4F+F0GQQnsyDlXFpEoyS74cOq9dyVkMTp2MKPqjatWZDtJDXW/Z4ySaI/SVS
ynDtWI3id2NxjwwbOATeNiDkLsmYvVjUPUgHrFk5UwClXQedepMU+qEpbChCpEkFk3qFWBjrljaa
izKoMBPm+6IOzrVhvJuw2IMuImG4qvJNV+2yPGReGlLrEn8c+6mDfjAbHWpcl9lYF5AIhAz6Pne8
k6ZyxZFJJkrXphhKmcjRb60Q/oKhZ16ny4tA3PWfBbqNBfTLfR6rZH6W06kti2k92D2Eis7D+97X
wjeceVymgvkoQAQy460G9YOqr0DUwEPvNEypbv+smOMedxI6eRQ4aBi153GsSr+z2jXwpm1MdLKf
a9l54uqVH0N6heNEbF49nBPi2pHaRXU/l8Y12dfr2un0dZAGfq5gkQ2aoNrRHSYR1SwvEr28ghPn
00/bx+zN0chluMeVpznkxnfZV3OqUHVG/VIYaJqylHALYnb6KjwzIcA3lYtbJ8BUgDIpWTRZma7d
ycGnaYgDuUp4ALIGfAo4IRKq77sC2ENaejiEJiNeEu9zoggDseEJX6vFWd8R1lyrzX1YIqeZU2s/
Tdq1CMeVjQgVDBBRekVyRRT2eWwZy9SJu4VtzzFuNJJPK6TlRKwGka+O3okbmLNya+OlzP6PvTNZ
jhvJuvSrtPUeaRgdgFl3LwKIiRHBIBmcNzBSojDPM56+P1eVKiWlSmX1r3ORi0xLMogA4O733nO+
o7U7rSKMwyrKa0srum1EfnVhpA80mB/zpF6VVX1WoooxvJuSa5txInSyBGVl/jjaji9BWb1qvKhV
X/o2JfowZpcptRCTyphPqdUAz295c5vgs1T16AAaBuKvuwAiHMenglM8Yard0xSMj5rZ3pstxTLg
wy074zlpLU9JkApZHYYyFAJ4Y0evt1MyzFINVhh+LaPrL0GC06NEJ4oeICSr1gx3dVff9WJ5QWny
WluwfCcCoQi2jWtovKbmmWr/MMToMLQU3lUpoitFKa9U230rFnQialjrnl5qF+Y7m7gx76tW3SpG
eTOq8Uir2Ligf3Z8J1JxJUzKdRiZp9iuFI8cxs0UZ+jO7GILgvgtD5dpB6x41w/sZUrkcDRQ0gLF
TFaCqi9ekqIe+H6o5bNpcQ6uOmPj1RhWq0tzjEW6yUe8dIGO68Bx+YMFMW5ZO5+JXUNXApG5bOrr
yrYf0FBEV1hRsrXQpo80du8SE5ajMJDZatmETXWZv4zg4FfDAGEoCBH1MklwwLtKhJINViTI+guk
EB4d+mwgeRW8xRWBaPVcWp5ZRrs0nN5E1BXrThTFehLuqbfqk6aYHynqH0wXYCAbac208GhCKPjS
4NkMy3g3L+VL8dXMiavTlvbOCp+nKg2fDoJfn847Uhfd3IdQJFeLNIhqenIiR/xqxjlKiNgBSh0i
iuCQZ8k+wmEaRPWXTlpOMUwfZzyoQqnuK2lKNciIWJG5KwCRse410rwK2nFtSztrgq+1kAZXW1pd
MzwVljS/jtIGGw/joyuNsX0JiHKQZlnAxy+TtM9O+GhTaagFy1hi59HxOOO21cePUZpvgYbH62I2
D5HIX6aZb1RzUYgQ/wAAq3z8Csw1WhxFJhONEJfqnOLZWwxkKG35ydXN16VRvwwaD0NViPuq4YbB
7DB8K+uIuAyLelPn9s2AjR5srkbfYVRg0Q3XqK3uuFTEmdF5AVC8sUyJLxkUfbVgLbcpSfzIUfd9
mSIBC5xpb47WRa+C58iGedRk8Uc+olEJzBEiBy39XZsOD0Q9Lx5T7QUZWDMg5fm7tvta28kDyr8/
JV04JeVvf+1ryJ/6dk76vRcQHQgoXVwNHFVk9+JbYef8QSVoOkgQNBMXzvfnJOcPVWZ8UIfRuGOF
+K8SqUznx86GHGbSPgH9T0KuYzA6+emclBZVVqVqgi7QsMhEtBzyxA24Qp+ahD6wCSFRzYN0pwTY
5xPNfQw6RsZBg4iLwKz3Ls8u2HfdFe4eHzkxlKsqfu8Vdd8O9ZGQyNBrLBpucU0OuBi6DbqhV5p5
NF51VEaQW/dQvz1jic9Gp+zzyD1hBV9pDQqcPkhq+htLuYJcuSviZL2M0LuNzu9GUXqlstykkA29
LB7vdKN7cWNboTAtbomx1VjolHslihvOIhBo6jgm310csuSZdJbXMVSp2azkrm0wsTV162m5dUDp
k62TBahRWeontTIxFC6m7BEeFqu6Hor+4LTB58qFjaWLV30W6a058YaHRXAazQ4erq68jI21bhGv
vzVzyTufIqJum8dYVz+Dr0WGWRm1J7LsYbKVz70syvC37aR9bc5CQoO5hkBNT/FSvbVJ2W6GII3X
RJICNtJra1tYAdLICLCfkz/MVXBu+/GV8HmQj7Z+nJx625mw1pD7ytONtnHocdcBkQo6XVsJaOxH
TSXuz31MhLvpR+s0DtFW7RzSN53klshzMlGKCeTachxbh/5UUD3HERrOQa85srjpY90Cl0/T7tla
xsMoatQkbf6ldJoTiv3wyIHr2o3MyC86sR5bOtdoLXdt4ILYrMN7PWv2gD4pde3OvRpFD6RPRJ+L
0L6EwbyFDzkBB2ebkBzw3lA+JsDgC4BwkXRP/LddIcnh5uA42EwRfkRJh2hC8sUBjYtjKanjrp37
grrDjySR3AZNnmv1LgFVLoY68jpJL+d/PGl9va7KPqd/jlVyAHWugTxPQJ+bs7Z1Q/wiFVD0VtLR
u5JUpQJgei/J6fT3N6ZkqS9YWubIrnC+uI6XAlyvvpLXJYNdB8auA2VPcfRlLqV2Cq7dTMerRPLb
o2a+biimVcDu3UI0pPJV40/GSvMUFZ002EgPgJB2AB3ZKtYAR9oE1Mqt79qv3gHc/htOq5sUcPSq
14Mv7OcfAWlXXsS4qJDCNbuYHlvRvHcpvb6qLG/t0N0iNrvVkLE4EDI9Q7h+NeH0MewB7p1Ku9Lq
rjUgoVxcta5tW3YQk13ZTUhI2VYgh9gLiuCWLkac+105bQwxvzFn8OtpenUCZ4146oEbDS0xUfZz
rByLOtpGqbIvyDQQSJjDJPNdDrFw7eBeonqaHFxA5nJlVN2TVjc+dBWcuPm0GYDvrYw4OdJ0SL2O
U6s72dvRFWRO5dyQx65JtvPUMy5D/Jj3+1gJMFpA7pwhbUax+4xPmcSeJjoO+Mj8pY5dNIICf2wK
VqVWIei4n9rR5CWYvXmy5XDK9Y1qPpl9sh/pJ61yXW1gkY3cW2tF/bfr2wYIyXAG1+m3iXmvxmHO
eKI5LjiBOd8WaxPeBiMRGrhgrTdaql6sPvioBQJHd8j3HVYnr7WHnRbak6fUOLuMHJLIMhwiCrgk
tpwVLSovMvvTaBcHhoIFjZvMM0PnJcPc2wkInAWns1ndunZ/QwPoSdWrvdS6ou6210AIWf+mAi6O
KO+MnsIjXpqzqUJXDZNdxgLIBPM6EMt9zUio1rvbQO+vOMHRHrbQoYNUXxZ9I0SzNhRtX5aQCynz
FlZhY+Na3UEtlo1TmIPnzkRNVep7FrS6lP6/AtwAlAEkeK/Z4Y1WIAkMw1ttcY50qQdvWZR4I0Bm
qhBAAYozJarCZA0UwQU7ahE6GE03RqZQUs03TAy+GPqyKXLItqJbt0R2bGj2AJOkITh31U1nOw9T
3Edeblm9N+WWu54SPXtOkSX7YTV8SfBHR5P6mPXFHifHMXJJme1xUvfosPW4+WKFM5JTrNawPDc1
3utUw4tCfvQjK/C6LazbRgnKVSj92qJ5murpMEojNxHLNmhHx+vweOt4vaPJOqN4PRA9wTKOGxzt
DmWmFtQkl4q2TR+HTBlTX1MKbQO/dPQcfOSZGu91C18a3onFn/CZm18N59hMZCramwtERJOmdI4L
oR/iU5+kYT0w6i82kae49tJTF9ssl/OEvb2Mn0r87tjt7xgijKuhNFcTjnii8PxOda+YxJ5bQVtQ
WucbW5Oi5OJhwlUPAOM+i2nrAcP3qwysjDOPZ4LeF89cnMsizfmZtOk30rBvSeu++dXE/9XPn3/1
9n93nrr5x3j+fxV9fgMet2v/7//W/zK1twWgDFWnoYRsBAneT22cGlHMjBnvrF3y1TOj75vaY3br
uW/3d+2pvIrXJSFn8RH4uh/twIESyLJjWPv38OKfbcDfDi9oA3YfQIb/esTFJPfnEVclmBE/JMOG
r53A71qBOgM6zpWYYIX4ZzDEtyMuUfAkvjO6oL0lb+u3PqAlE1ddRIOmzV2nJfjf9AHJqPq5Dwgn
hS2Mp0dmXzER/PEByqvMRJ7siOvcWIZNpQZkvan2i820urT7J70TD+lyGxAXClxlrRMf2nfhA0Hb
qYdpyfAqFPM1UaPimBA7aozpQy5zSDVDbjtEk4oOEx1+/n1FaKkaFlTCfYm/ryH3SCabQm14VWTW
qSZTTw2Zf0odH8APS8AEEdwThM0VwwUWfSN6yrFcFLP7smDLyCqn8chIe8PGfOtGxlsjtOdpmHVP
dNMJrkvpzVFa+lWdHPoerxtZw8PTrDqvMeSaQ0G+EkHjBCCpVfKQ9tmrOtvL3szx1hCRgD1u2S21
/so+fu0WpCwJ+0JifUq8RO2WiAGS8aGP4hcnVnajWj61jRJe2ToTh9b08mK41hJYwNl8Pc3xtdnL
5O1GUuOiz2XVnWmPgpQS47Ubj+TLx/reLDcYFlfRjKdHv0jCJtalLn0h553qviLmu12khmXwMxPD
SUc14qWJjqnCJLDaalvEKm4hg9YxEChHkZcjZxJ7ALTZr8cywfokjgCUlo0JDc4bsmxXl9nnBsm/
3+ktmoRG3TZiYXg19Dfkae+oesRKDYZiGxWYl2L8fVnB52V4bqyQyYjdvKvLTDSlilrWWfwSs8Ik
AlcyyY6Ma85Z5V7nlemLhBwICFjHMYygIdu+bZEV0ZlYoTKVzbSI6GCE2Js8MQ7E26RwfzO7bZla
cLCn08TDFnO26HJ4Tp39hmVuD5qt2/QtziOQHtLweTvaovVsDZlzbZAPRXVk1sldodEUjrhzSmU8
WKCR6jxr1ggknWPNvp055alKptchnx6jtn2vagesxDgHhKML+kFJj6SjofOWJt1+mLvSHyDV9zFT
7QUplRdH+W3QmoaXDtOOMXa5aeior5ZZjCus3oYeJ8C4cKSB1ygJvDYpIlOhbi0tw5NFwxAeLU6q
zLhQWb2C8T90hGeXC613nJtXcMuOKtFtuszZzgjcdgjeTtpw70bhVshEbuG092MbX6peecBMsFeL
8qoHsloKsU9JjVKI9i6I+CZDki91GY8m4d9GX556mQaOI+k2y4ftFMRHsxfwqcZd5ZZ7Tco22ZQx
WV2FzCw5SBmHCqTz2Ko3qkwg75eGplr3PMps8tZc6Bt250qmls/ElzfEmFtxdSCjfWemM05+mXSe
EHluqs0prGysZgM2VEoljK2Xtmyf6Pkcgik59YSnR+F8V6gZlHNe+jSLNkgin0Li1q2w3OUidvaQ
2KhWOBvFdncyZEY7AxWkRuGevsBtLlPcmaR6EbHuRIM9qzLn3VEzjtV6fzdG1pHzKZ03mQqPLvIZ
hcDOJvu1IjZenxamD05xMjLxuhAsPyoIjgiazwicLwCjtDKAvg17WIg019vgOWbKw+zia2C9TiKh
l32NsXdkov08kW0P7g/AvsgOFE1H0033ZEdT0WjuIYqiszlkhyCcxxXWo9MYMAON3eJ9YIa5Uprs
WlHdbV261w2wcc8Zp01eqyTWWtpjrPXHSTOfjFQBg5NcFnkLmZO/V2R+lW24Bphy0ELlaVKHs0Gw
qpoyexY2yL95fNMVDi5xFWI9rGkxd9yLRrM2RR/G29rJXyvDOM0u8x3wBLu0TLY0Q0YOmdojfsKr
mkNiFCHga5XbIRaap5v3dtjDUV7ek8y+ULKFx8Kqq70aBndVXpwUeRYK6CGYi/WqVWJr65KIMFq7
pIOxPzaTvkuZ2eh6+JHSAmVmWqoHYk+PmkZPWNMqa6PGxtauqXB5KCpPn2hei1DdtXn/3I7xpWaW
NffhfdC0u0JhdgPG4rEY4y3XfE9q3lNXR8N+Mm/SFKOXOnh6IgiXyaetZZbnsQvvY3VpfYdxsQLy
uVucfdOK2yXTdk3o8tVoZ6VuilWEnXDo9QvR3lRzaOR8p5G6OI0oOEOc2oz9fo1KS8/W/VjHj1Ye
dyz+wj7oBc7f3MmGTVRTo9VYm2Nn4O1kCIeHfSUaLgkN2Y6O6NYOC/eGItTBfjsUa+oC6OxM7Ffh
MEyroc/fBwh8piiSDTsMDmeHfMFKlyqvEC1itwsiwHYTuoRVObjDVZJN+apW5i9F0+JUhw2ZzoC2
jaTRVsjLHM6s2dNQhjojKdFgQ3SKjRa1VLh5ImA95+ERkWh1Lmqte040m5aOtTSKrC2t23YkBDBz
FhopY2aCSkU7qqG3XDJ/0ZQj5vgrEO43ukNrYErWtr48kmB5F9bNoa91jP0Gs/2MELZCq5+D0Uqk
O27daC2U5HTa9mZAZFDXvQ8J6USp82IGxmkYcWpXsU+mwaYj/xZ+/D02zdl37OiNlfVRNZodaIGz
alH5J8YBzCCquAgjX0xbu1XIkV+sgx3nJ5JZDFrAOfxTHIIV9saeLRrJEO7SJjgnTPKytLzr2jSG
yLfsq1AcrSneaQ3pEWm1z11w0qWa+jFKBk8kxq075hdyesnbmKHTF8V9ARKc2Vt6YKoCMkU5uYxm
OApt9anedwGNhzTah3Z9gGH6JEzjkBXaVWOw0xoObYDqE5OfdZKGt1PASWHGbboE8EoY91h190Fz
8EgZ7LU8dBPxJr2bfRIG9WzrFvtSje8aPVmTFOq5JgNcIwfIOKmXNlWw/hEMTW1PKKYdruHPb4Ih
9F0JsOrdliw8bZf3+jMGAi9LtGljkUNpUCZxtID8UWQ1q3v6TNmNHtUiHw/BrZuix+rDDMp+8kj4
09Zwlht1ABKSdtr9PKKGTaqnkkG3b+Sw9ZUh/hw05eBNydij7jSuR0u9DkKD8Ej6ZIjV12ZgbxM3
3rux6m7CkFCcdPmoZuu6qzSueMQhL3QelrAcLUanjHAjkjHXwSycc6mVV4XJwCxDwhV16m1mKses
A+mihMambcEMBFakrZoWy2E0ixdrxMvvstLgzJyO0+RgqB7Lp8labitFvOh6EmyquH5WMcmSnNVv
0nagpdRy1U6g7Vy59NR0ZobSjXZhkyUeWuBTha40DZXlrOjNodLC2texZPt1kzMKmYjsmuvCN/m3
OZ19bagvYTxVW3K19gzFoI92PUEmcte2zOdJ40VLUJX6zYTuhAr6Wkvj63RMPTMxo70dLe2RsE0J
vzKedJieV2MT3Lpt9gJFwdzJ150UF4SiBbs5zg3jxYm6C7GhtwzK46NrFL6jVfuwUu91cJ1LaanY
uHsmdaWv5umxDtVtbxMLHVr5FxTXaF8MnWmNc592FJ6MsFLm3UNGw7LVu+dZq+/cieDKorKvEy0k
8jPZZLY5kx2bPNaZ+2JOxh2uxvJgGUkB9FOA9OrMlyV39y6xIF6ixgwZB36xUms0KOPOr+iv7JIs
A7kBwQP4r5mrxmXSEp0yommQI5DDY+rMmg2hrHUtDpbE+30JLivsP3XzYKEAALgCyjt7POCUr/n2
3wkp9FhVJ10v4nNSYagoTu0yrVzz8vsP+bHM//YhhAdBe8KG/bNaIw2IblLaNj6r814pIBZFwPTu
u/H+9x9DJfrXa7FRmJqYISVI+8diMFBVlypA5eCufxnLB8X4D8beX/x+G4uBqoM04+v6+btq3VmU
pcizczHyoO2cgOHRv8ZLv2iH/Or3Y3PhG+KLkryaH//+0JYKBKvOzw51h3Vj/ROX9m+hb9Im85d7
/d3381OxTCKPhj6F7wfWqpJ7qbaBdWQiKPnIEv/3l/KLj5JBINK2YzH6cn+6FZnDQHxcyvSsJjtc
1kyOKpQCpsc2DC/5958l/+yfLuuH2yIf8e8eYVWL88Fm5nKuDI8BM6k1vFqsqfOw+f0H/eqivr//
P11UYScu5uR/fBCyD6LPpmjDPiK34uo/PGu/eC+BC+HulspQQ9elVe27izKsQi/ZeItza2yC7G2Y
1lbw6feX86vH7buP+PlxW1rGUyH+gnPhvCXBi6n8Dx5nyR9F8YgNEefQj5eQ1JnVmYpenBNWQBQK
2fw/WLyQgKlCeoh0g7CKHz+hUArO90Irz4v9NtrXvZQ0df9h7frVTechRoPOqBZvspywfncjYJ5X
xews+RluBQQdKSmyboeGCaSPXOj3d+QXn+Uw8sUibBNbTf/px8+KAkc13MQqzpGsqdekxkTEPNWI
Rrb63deP+tvqJnvM/1p0/2J1u36reIr/4lTgZ76b6MuYOzYQPNQmdu0/lY8M+7FwQ0zErimd/LyT
39qdTPRpVzBhx9ArmZr81LeOp/OHZkFfJE7ln+rv/6bjaahykflztUMQLnuqrEL46RBTYtP78Rlh
mp0j9tWXc1W1MDw4YqwaF8NMZc0PWlJvA2ktGrXaD6r+Xe2D11hM4H0n89BaQYYUS3lwh9pXrflk
LQi0LThDegBGSw3jswCbPwfOjZqFmkd5rq9rGDbp5J5GwzqWebl1QnfXJzoFBeMph7RdrwkLFMti
vAir7BlYah+KKAiQdUEEDGZ4sgUpPArRrCunttazjpqmVgDjGPFetUbbq3Tn0a6MGw7+ZwvfHrOb
YoC+MmQQvedtMKVELVnubZaEl5DjYWGh5ZotcGBhVqp4MMyPsQyT07L01VvR8TmzNWwXpUF4QKQF
1q8dRYu6IaaXlk+G0LvjDN6BHqquelTHa70aC+artuunUe3FmYWAPHsPia/qZv70ami3fd2AFykJ
I5sWlEW2Sh7hmO4aKasKO9er28hvzEzbk7J4MNQsvtIIrwjo9ZL3pVZekNJRTEmmc0dxqbVYwIBt
Oo/OMVfhNubZycS+GHt1VS7MPq3WYnxru9cCAK5RFJ3XdsFrGzr3iQIKJ1aMnTkHH5xSGBtCiHFc
kfstLV186qQVKKa5K6MAXUSaq/f0QgH8TNaeGm7yzbC6w5i3A1Bme5Elh7XwJb0yboM93Ut1RZgb
o6rE3cSUA+slimeS5RGKWWH6qdEo0IZaw8ilLPqdW2sOrpUUNi6wdGJMIl/BpbgZRtVNWe71HJJZ
UOxFr1g7PCgjQz0n3TN09yfbxN1imkRI6nay7Uorq3dNG5bBxSHf4kpDNBAqJanvQepeLVJRQO7t
vkFiQLsWyR+iA1OpOo/1f91GvbUeHA78Q1EeCqQKrZQsTAVKAkQM6jQ8V1LVgMLysZc6hxjBsTcg
fRikBsJGDNEjisilOqJBJrFIvURZhtsOAQUKQ14J5bGTygoTiUUitRYiNM824oseEYYVMwQEFYcu
I223yICPmVRsqG73uiDhGNT0wZWajhxxR6ij8qAPi8ZVq+N1IzUgcVQQEZeeolDxJqkSUV33VCAb
6aR+ZERIEgfxA6kJuCuUMFoliE2MuHocEJ8oIenCjdSjDAhTFE15GaRSZeyckyG1K5pUsYjUfIVo
cGg1+7O9tAdK7+sF2Uso9S9taZ0nqYgpmnybSY1MZYuDMTUeGXYqAurobpB6mhRhjW7fp8ranJ1D
heLGldKbQIpwCtQ48cCIskuzW3QOCmrM5qVSurtESnhoZd1EFqw8gbrHGElOQe2jKGK3SLAhoFUI
Z1IShBZxlaERsl0Xwll6xiGFrYO7LsVEg5QVpfny6kqhUZc3HjNyWmlkrEkdUocgqR+XvYtACZod
SiVNA/qMdqmKk0uXWe+uVDX1E+HYRW0/hgqKJ01qn5oywtkZdRhfWQtX7pJN27YgjOQfGJi/d1yd
A/lvdtyP4e3zr/Zcfupfey7mcjx8uPyJaRJfPVDfuQMRr5Evz1rgmETN/7nnun9YukBYx4FJ0ou1
7/ZcAp9URsoyvglW6H83ZMQE9dctl3ISlxY2Aj7w5yEjQYaVYQXxfI6LG2O22ToCut1T5z5MCyls
6kwwo6sXR2fJ7pzZfJ+rTPFsVOMwzckoJ+5DXUk5VJvimVGpFiZFvLtResp693FZ6gdjLL4AxdrU
iqhWMbCbrMqrldMKfFe4jVQ9P8LgQgATDC7wSbpLKkKnjPKLIVz6iIVo2RhUplKKwPgtIPBTt57T
jMd8Xt6Jj2ewlrq7se4f0ri7aVzzOqbPswVKccnTiSzfKbwOhu6qHCWuV2kPmkObcgLenk8l17z4
iWOswBDveyfa0FEI0NcVmyJSnvqKlhx7OgiXa8q+zWKS2FvYdrDGywspaux9dNyb2oE3anSIVk3t
M8r5c5tqgoT5er4sSo73OAD1XrXeUk/sf4kRs3GbWC8LBcazYr3kC7GnYgxsXMhqdmWXsevXWMyw
ewQytz7xnVHOFmVu68zJZHSXlaH1FwEXkJ6g9Yj0BYVRiDycxljPpr3qrRKPxIRwY3nQxpHWChzS
mljbulOjdQa7uWH6GSZsN1GYmX5QMvWrh/hIf32dtvNWzabdMg5i3QNNXCVhuJ1UBDO2BEsHkPVM
G3MnyM2PKrFOmdq6KyBKONA4rQkEkqso6B+6oniNYQ4G1hUhQyUm7XY/9z1h14RBiaTYkbagrKO0
srAyDCdXIpBThln47J9mU1zlFdPF3Jrfas2qH8wcVmBussMPSBHHPcbS7ZQkAUaLAONHHOwgEJGP
WxuHuU+1lauA2puVGfNp7jwqAwxKUSub0dUh1w5YVhC6O8G4X1wrXallhfopLHx3UMjirattHEf2
SrXBG+jBxujhtilwWZqmf1zoxGeW/qU0+M5Y4J9Vh9F3kD6AAHwJ8+ZmihA4T52DEWJ5bpsClR6K
dQZotkea1rqYuqu8JwRbT5bnAcglXfW3bo7XxKgdMAb4Wly9iHjs/MBgNJaqNLuzJrtnu3iIKGxX
VW+2/GnpAQrtulqw6XT2Sw0+YNX04tQAXVgiRGEGgUBARrfqDBy1718tJ7wjy2Jja8UZ8Np5qlSX
d2zRcagMRDCJAhHYcK0b4SYtPqfYH3o6eut2DLZlPMrYLROrgzWj2LJwz5Op6xKxzGe3zwvRrR4g
hrc8IJ/GUlN8cC3BUFmor8BS3gOZLldTmdlgBuz7oggPTq2+LE50ytzp1tCVLUczcodq93OQqzuo
4jxGdk3YaM4DGEju5LQOEv3DSsyKF0q75zF+tjvMxFpQXnexuG1d47O7zA2OO9DaASOfvNVMD3MB
SdhBYa0ygcXR6ZinWOmU3cype5emrCu0oknMHQjhzGdt3BTCfZ+C7i3N6ptAa3AE2Vbgt6OKN2eu
XY411qFyWvNmMZwtiRQRaIahTi5VoX0KZkNn4rA8LGV5NJbwXWNKALx73uWBq6yRAF5HgC9WbRW1
oDoZ4ZDc9FFW9rLu7Sj1m7SSONeajZ1AspVwbWAAVoYS2ESgp9mHTteu4l7bR1F31zBpAn4JTn4x
r6deOZQ5VxmntV91kcr0RzFJcA79JMp7JrDmP7pgf2/50qX877f8c/NWhB+/KLP5qW9bPrZnU3oF
saY4pvYVGvNty9eomCXyi93doesiviuzjT/QDQnMf7DB/xG8+K8y2/gDqb3gH34t8nnq9v/3f37o
jLY//fv3wrRfOaJpKkHOomesA1T7Kqz/ru1TC7I5RlsNoHpopGYtWep6mjQMK1OtHgq7JR9LkYZi
M4mu4mB+cUJt8So7+WQMJC5jZB3tHd7DfFjXhpogiq4rhIsxR1UE0eVj2AykU8M4b0OpH6FCxkyr
S/1482YSv/3R9WrQbPTCYkNqqQMKRnEF6+MmwsFYr4kb0F0va0wy2JoEyC9uNZcCBONQ0LucEuJK
wKW2JskLb74oBOPyTuPWseKAybfOIuJozGulJ0wxKPcALDNrm0PMkQ0AU0bF1VLSM1AprMdbzViO
0eBKJNbRLLO9Fkb7iXGEZ4kG6DXVLj7hofd18P3HyhRbtVJuEt75uypwDl0VsZmFHENCRiHHoi0b
T0cpuZ5FgtuuUhIfK/N56tqzkk7OakSzgV6Y00NZjusIfybBAKIjEiU25uZLanQXpMwX+jgonIes
K26UOl1Ohon/qq42YSWiZ+IfPRvPc9AGOajPDJlxGX2hZks8vWJOqJcO48Ge04KRXxRhjZvKYXew
a1SjDaUQRi93VwF0h5gyrYLFFr6uFdF5CEe20yrpiXRguDgp5Z0YGcoKgK7q3KwMF7t0pdM+iZUT
qX+bQWhgUPrKfGgRKLOEgc5mXdvQY4lXHPS8CS0KiB27erGCnl6KptCfWBV62HrtjA7tu1fxF0OG
vzSWeeEkcY6eAAduelk/9o/Idh7V1G2Ta12Nqo2RjfobadCON8742VdfP+vv9U+24//9+neTvX36
aH6x/vFT39Y/XZY82Mf+qZyUbb5v6x+qSsYm1DuCUZbERXxf8kBihZelgndkECVje/5sM9oajUag
XSBGbY7g/836h3vhrzWPJfGrEqelS6Tkj4/JMI80Ekx7PHckBXlmlz6Vw3xHhCCpfm54xnGRfOIV
K4huNO5x3HF4NhSaN/b4RYnUDdpPE7+cgriADDu1yNCA2Ig94iZ4b0K6TlNmN0hAijvTzUIKkTLY
jqAKyKdF41zZ770RX8SwPEU0eNBV4PLTK9NDPQ36wK6uDNn8zG1pH3SLzZLpFz7LHzvkzg3eOhyK
swa9G/VbsIhTl7oPjNyo/NPwc9I6J5NRsmpO5yhsd6XN4ZAD2K0eqeqGpGAMuuZwM+nojJjMiJWt
k04Foliek0BJ1J5RYx2glo1ZrrWdRmLDxu2QklNbOesegNLaSIOtwDK8Ko2cRbMy7xsXDsTs+r1h
rHv8qau6gWga5/N+0YiT6orIQfG1PFru5xywRqNPsol1ZQ/dc68usVclZAOYMhSwn6nvxEA+pDXN
H4Na7gfN3tiGQsqAGj2GGos8aWiIuFA2MI2nyJJNK5vkBPtatt2woDySq/KOqvQACAnZxuILCP51
q+37IL3F2FIwFRd3Dt9QEJP3qpTEG2bZdWO6dyJW39NpUVcwdDkmqppUUo4PuW6+JMwtWVuJGBsK
c1P1GuDWyT5oiXNPMm9BjIr6GA9JhgCdiFEjeKim5hrh3yFsUjhPWUaYcfQ6Dcp9ZaAMi6a7zhUb
VSjPvZJ8ws1MlUn+otdUoY1dEu2S3iKSn+eL2gPsqU33xG06jomNJgErvfkFzdU60GWwa79sKrts
fd0kcxhxrkgcWnShvV0S21o1RflqFIIonnb2SG18M/uR50tDc5iHQN8GfAXE8nwOeCLdxsh9Uwcy
n4mrXsy7UnSfB8UEEhoZ9xZNwZClH/5AfaOpsDFAV04+La1o1Shz4itRT/al4Uj3PQ6Eji9pochd
WZQt/5+981iO5Fiz9Ku09T5oITyU2fQsMiMlkJnQahMGGVrrePr+vMi6FwUWi3MXs+OOJAiVyHD/
xTnfWQhU/a1Vrtwygzuf1e4KQHi593EdHPWuuBubx7TaGTxzjxmT8kLS3sKAG4WIWSzFU3g5DbW7
8xN0jIXdjBuAYbC7ukFAvtNinPAh5a9SfjArbl3UUFVLaR768bRqs6Sab/tvPbHZjw7dauAn4jr3
DTpMdCZ3kYiLlaCnVl2TKDS67DEXtNuy73ZirvDc3eCypyXXHAcXX53uUWrYqwzSOkIq47HoTVx+
shdLQ97SZPYS+MagMWJ3uFQwGwWOO147JROAAl3hGM5v8u4lDMTx8ISsVWYJXZJRFoyIn3PLCUnq
CVBh2MdRiAWyaHDmzn3EZCJ0TH8B02mNgHsXMbuoUVWlzDLSqFuXsn+dmXIUJcJhhbmHgGNzTJmE
JMK65tXVNhUzkiamT2Vm4jI7qQ1B9eIPL40l7orCeMhUGyYd85Y4JUW5quZZqjzvzFBiG2Yml4jZ
joMc2ORydJOE6bnKLIf/qmNvh15ZtSYjUgY+egVm1Eg+JiZBZWzflVV0oLB7qRsw62pmnyxmR1ZX
qMBnQmNhMPZAS8OwWPW1F3WMrxxmT/zxGELF0M3axL7N+n7gCTFa0uWccIWUx7Nkr8OIC4IU7U/R
8jBNPHo2jVET6rtGdkoRLRPoBsYG2l6llYKnd06oDaB32WWlRKmSgEeutBFloABtaHki0wDr0KAp
Iem9hVvF67ZzI/AUhHLJfq6XnZ1OizcH/rMyZRgI51tF9oDaOL2SXR5fT4AJl/WAcrcR7DMmjN52
UL0OKBUQkLI9oWm7jRwL71T5Gs3M34jCyG4Y72+VXL8l9SNb+iV/jdT2ycJOVA+TGsfGsLOz0seY
2hEUyO1Qtji3BybeWcp7Dc0lZVuqBkq9r1Vtok9MA5xdFpKxxm8b90nPmtY+/FMR0cNh/qCO/FVF
1GXPzZ8rIvlZnysispvwcHyrXxwqks8VEUYTW8KS6RllMfLH4pXQJ4HDWWMoCxDr9z7ye0XEfBjO
JmNbXebfSRfKlw7wVx0hppavFRGOFbijcqhMrAd2kx8rIhEGOVy3STuZcAKSLbREnYlolRxiH+Pe
3Fw64XxPt8Hz3KabIXDvlShsFlkIs4BdkuunzHY5YggsoKEs6kurL4iLVM86H8FlNu6MsfHmbmvG
ymMRBBz6nGLBSYvd4MB6zllaJvWDrSHQShrk+dY0vzHvRFfXMZwjGecRJF1KyaK0azG0j3ORbQcG
VZ5h9hdMyoxVRf4lH1fP5h5eASmiB0GDwIOc3uVKR/ZZrb5HZfMxzPqbo6BLLbokXFKKXGfOyBE2
isdhUu7rWdAVzRUzYcsh78U95tY0nSkiuaJrlhk3QD5HnwuB6pd/aD7oa/Adz8S29ppHzIUORSSC
VukL3cvCukKdZ7yqyQNzs7CxIISCbjWHmksair1vt7XHEToJ7N+kgNAuG+yRSsh2qJuxdz5rEYn1
q2isET/mfQjuIU+2AIIqhrik8GHUKFc000zqVVeq+Zx0zbwvwd3Q18SeRjUk0WBoL7FxEEY7p/Vl
XxgxeB2g6ZwrvFSgTvGY0pSGFTnoWY5PNaush2KuadkxNa9ELZwFJspk1cordnSLbOW7volye5gu
eW8K4mhi1YsHXJ+FVexdZJEL7tfo4Jtq7A1u1+xDIi82Y00LjqYR0H0FfhAIieFvtKT70N3C2VRh
1S2rxA+2mqW89C1/PjAC1QpICMyeiu4xwv2zFar17iqFueiqYVjhVWAq64odtlBy2M04vcBvnKy0
JocKqDBVdbVcbERqEB3SN+bGCav3DGfrBhwNHtdaSS/suQj2vHJcH/6QPzsFzgN9itStr8IUb1QI
HLnOTMTQ2qT2NNtmtggI8aWcsP8WDWPhxmT11jpKfTbgCj0Lhq7GCoozSrqfNyUkoRV/PEHWvfkR
ISpaiCkkwEYYG0lmChfqnOENcgGb1Y4jXtSM4T2lN8vOLLKJHkIqWpWiX1EsaQo/ZW4RNNulLzxz
wb5mabod8AS3q5BsG3U1Gs7IBpP94UcK4mhLNKF+WVDwebpjN2etP2MKNqgoanW8SRUtwOqTmovc
cBNsUdXdpLjBUp19Is7coWAFDXStbx6VoLpPsdEufEBuqzBjJNtnGHBj1YY6MsV3Wl5cxFUTPU0u
2nk9DEIU/w7UnBJd7NxdYqR0FqYFCBJneLVzO+s9TPsnhkHrIXDC5egqH0PcSghQ9Ggo8R471cNo
DfYGXom1TLNaHiLugZdi1yXuR8FzqsipQps5NwAKLyot3JeYMhd5XRxtVbzqlnuPb3X0tHq8aOfa
2Tl1vS3m5rqZ3dsqtPyV2lLPVF0NOXiKFmyjpw2mXZxBOcWOQyLLwKyidsKrQK3NhR0QltylRnVm
qvMz6weiB3J9GxXhPrEJbTSGgzIalTfRlfKkRPUCBC4lTZSSKoQV5iV2WIpYSRtvA6NHri46Azmy
K/YWCQ4LYRUNJuzsxW1Mziy1yxECVxfFoFyzypHImCTaB3gdGKYH2L2nweFHouKbFJKaKC6thV8M
wWWGDJMFB/6PTj48s+rTdslv2pZmuIr9yN2o4Lau0qAuPUfHL8IJ022a2KIhMkd3UwptWs0xjRt4
sJQTxp42YzfFK7+JDHT0mSCdNIYBVJsfDNZmLxHzDmPIiWXFGdGd54Dss5UxqPrGGAABGWrprxMi
8Nahbaqb1PfJpALou9Wt0fRiNkBRmM6o1iN9oxsjR33MTxtmPLX6wCI9zYEIMHJMge5ySqkVG74h
5zc1696UccgBCfeatVFiFlBxRlNbBW0AMxR1B8dU98/w53dTrUBI+delznX0Tlrbn0sd+VmfSx1k
YrDy4cCYAPF+KHVUrNqoxRjm6HKM873UMdzfbGx9+G0JKpGzab7gv0sdvogu53pSGyaVaf9BqQOt
7yeljo3mEcEj8yQguz+WOrMRZqFeROrJcKjB/WzGeaE9FcEby7CZTfiiZg+G76dDUe/q54NcktVM
GCy2Zh0DWIstWso2jc3qkrMbPUUSPuTEX1Xs3YzcgbTAqLWxHzW5403Z0M1s6lrTxv4gl3d60DEb
yG8QmYGwddV0WWHZ8RD+P/rs/qAIn5k8Z/TnzzOOTI0doS6Uaklwxz4Ez+DKNWIyR9umA2UZs2EE
xLAd5MpRkOQwsoOM6SlmdpIuu0k0fxD92FYqQ35fsb1MNFIwBfvM2lXWM/vNyE1s7tJyU7rsxQcS
y52I5tXwZZwd+9GWPSkXKSMc7lGbDWrdsD2d2KlWgz6yqZrsHUl2CAJ8cRaraUHukLKlXxQLjZHY
tlOmTSHGnf5tb2tdDWV3hUiovk3Z7KZyxWtVzj5g56tCsoHmC5xDHQ8Yd4iDDGxlZbIpbnslZphM
2As7ZMijYB/YKk/aW8NxGrBrnhwTXrZcP8/O8JTIhXRaGQdcDO+GXFW77Ky/pSIPKmtsRfjrVi62
GQVaK3WctjE7b8cZViU78K7hNQvkWnz4fUWOwZR9OUBk1iW+HRfEwkfmeEb26LSYRam2u8LBld3a
kCdQLTL3rwq1tlf6t+Kt+VbIpX01wHAw9dazvpV647eyL0NNBLwO6EwQVtWylHOermKsSNWYy/JR
kYUkieyUJLK45Ej1BqpNS5adblJ9OLIQnahIJ1ma2rJIDczkyp5LJmCGfVRCHcoD5meqfmYPSviQ
Uuvmsujtxx5vKmUwq/LIE5X5FlMh69P4Prf1tOipnQNEowu2SQdVltVJo5/VstBmwmKskGoySZRF
uJtsRVg/OonZrg1FpOi5ncepBcfAuiSWB/AbXKFhgctq5J3TusDMKPpVWf6nAdC6x7T3cvoC/CZv
glbBpGXQc4xyyXwG320TF+Ul4Hg4tjQZpSCJ2qLtSGk/EGhjc1Gte1+Cc03+i6MN98FcXUa0LpMg
SHNoHnPTRM41KYTQ2fYceXwp6FBEJSgYrheWlS4UJWxYOY3MICUJm6i/q24qgl0ShmcwfI5zXZL8
Vn5YLsTWVPQ1zMYpqV//aaF/b6GZ5v/iXoE0vWax+ho1rz+jTfPJ/7pe9N9QPbFXVU34GrbUKf+r
kzZ+Q7tMDys3pbTNn3YL9m+uDm0doPq/Puv79UKMB5eA6XBn/efw1j9dLnx76GZkucgvygP14+Vi
pqrqxH49n+b2vnL8RTf/Ea79wzb38/ZWfoV/S6QdE+gZXwMPPBeohK/Jn+DT7hbRpVWOpaGdmlFh
8Lc204ju463vt5/+AD9Zpf34m/z5+3yRYhM+WaILNpkISIh7fT7Yb7/+BgjVfv2bSGXap98koKPT
O4LIT/poL3pxa1PQYzhxlZPb9StGJcumfywhFkUXLVBYLXonjz4g9rS4bHPU0qheqjPLDJDRMtIX
0K2uQdsQtZj9zUshxXa/fM15Y33+SQ24TEx85WthrHxa26q873qaGE2cBgoGnxSRaPqw4RxW/KNj
Rctfv1RyK/anH4CFlWmp/PlNVps//gA5+/cWMtJ0ghJNKLfm1ul5gmSfur8UVbl0KSaw8DvAbsdm
YXbDlcZAk86kQIisKvOyRvvFkqlT8eIG6n5wAYlt0uxBz4z94KsNbFgl1m5HI4s3RuJCOvWddpHH
Mc74elcyP8HbvNbayUOvtAnnU29FqyxgGlwpC+imG4yOF5l+gYcP7O9DwxYnaG4QdR8MUjdrMp97
FrD6AHXBNBGRUcbHpZcQc1nSlVrU9nNV8yJqyw7fvK1mq6HcTtVDE8MsIC2vGvIzrRWXhJnEY7bp
MRDdZiY4WWM2VoV70wrLI5cFIjuNgBkFAutX5XiqQ59SJOkj6/VFlrGKdk2/kYmy57/+C32rGv/9
WErnwg8PvvjyuAwRW+d2bOaTujG2/m4+b++NDQ71U7PQztst7PUVMNXltDaWe9jf68IbH5Vdsm43
6sY6ROv491nsXx4TP8o6//z4fnHbiDTt7Ey+ZYtkVySM6b0ayfya5NZf/+I/e2d+Po6+HHhOlM1p
GPJ9FLJSbsa3SmZJL6lYLP9vHgLtxxnl77/S54fgy9bW5YmpDTfST6GxjC+gJXRM1rE0Nysg98EJ
gdqvf7WfnYCoeBCtEvFEgMGXP2nG2NK2U0M/DUjB8/mlVy5+/Q1+dgB+/gZfXjs1j2wSzHT9BJ5M
jjkHZdmMf5el+nff5Msp646uNU+swU9ufzZX+9a60a2nX/8eP7uSPv8eX47HibsaUYmpnyCus/tm
FGlduTEkxfH/T9d9iF7roik+2v8jxRyvRTnVURC2//fHf2VA/ofWQxqpfviX1bessMvuvZ6u3psu
5VN/f/Dk//n/+sE/jFg3xFb/z38/vxG06UVNW0evLdfLV5OWnPr/dXl0FfXvoALe3n/+id9LI038
JuhqdeGogl6ad8L3yghBmoWUnEUCmi9cXPwFv5u7BExWTMuOhemK0A2Teup7ZWT8JqDaO7j2EKyB
unL+k8b72+Py+YS0CaNlw8CDZEGNRQn/4x0W6jl+/M4AB19UtMrnSkpQNkhBoTaZ6gE+SLj3dSMB
guKjdMDOPq810OI2+0AytRxGlKdOXjdDNio708yNQ0db6g16k58hr8yuWe0Pp24U5XketcUrKR/D
Xs+G5FpoQ30mihgGUzva7z5t2bYQjr/W4pp4ebtqiyf0ETT6Ss+Crqa0QLmxSXRt8OY0N196dE4f
ihHNV3pjcb65xHkt8klL4SQyNSityhv1WEcxEMNECkm7yrLOv9EZ8V91pZKG1ypozqCBba1VM6kW
ISrqGh2gwWTSzgOdb8jdTG57j3qwDj3mesX0DF2uv6xrzeFsIyoNlfYMIPFoWSXzATOq4lslnk2p
205sm/QrizsU6iMMaLMnEBNGtLETfcYEguWPZ1OL1kRxO21ZeZrU3ql97ZpnvZTlMXpAoZdJsR5F
NLo9pZIavinKDWMzaU28m4DTuF4xi6tZa3p7q0spYIEmsI1Tpq4W0eMHE0zWzqlkQsksw0qm2sxn
YxnyxhwOmZtOufK74usfFZaMNP3rE+H6+bV+zjhFftYtyfPluWn/578VrMm/qXKtR2wFO8RvD/73
M4EPgW9mEPbHR/is72cCUReGxXpMPqYcAbIc/X4mgHBmH6kxPXOYYP+HZ8JPhnE2dZP86Uw6GbRY
X64OI+5zhADjcBpTBwcaZpQ13It4VcbSXDC2iO4TitPRFP3jEGdnZcNs2lIdG7kAqTL+FDSenzva
VRBYK+yD6Fqm3F5aaqScqe38bPr6fHS79h3Yb7OyAbQsytS/NjrFOuQ9+5+pNyrm5n11BO+wioPw
riXCbuBuXkeus89afS9q7SMZp7shRLIkklOVgt/R9K0bodByY5Y0UWaUsGk0qtjJSD2MEg1iUERM
SOTeY1vcDpbylPTKO8DiyrN9UiDGAV8CiO63KgN/l6jKseX5Z00BcXRI8Gz2rvUyhRD84P5ryxSt
FIqyNvIYStyFWXGpW8HKKsDW2ZNga9a1/SqoN11wCKKdVRpXVWMByfLfZ0n9yi8sDT4UEX/HHNXR
PMb3WUUUnu6/hrl505s+K6j4YwqkuD7VL516miDFsUrqgwZ3XotluyOLvkvDdD22xIZULkuO2pqu
MwjyXmsPYovdMF4aaQjBLe/QMBViXmYRwuHGJ3SE/UTjiTbYJiHmhUwxNsQTxlew1nTOTswh8YTK
SIvM3jMLxTjUlYT54NlZJqBO9lher4pmBGQC5GGD022HOivyaqON4CvF5rbz3Sm5ywPFDg56M2f3
RDYgGk7RzPLy9fNyNCyAomPEytB0PhrYL2PYn8K2BrL0TQzRfhNG1OYcvZGIYCtkH+BTjITmr03I
WidbjcYlayNQOvqUr0sxFIds1qNbTJ13dRuNW8Nyn5JozNiWldFpELHuKWWH0Hlybtx82BmZuSlr
vwMbg0u11rRbpWMP0iHiX40+9O5+IFEyE1m1sBvYAk2OD0jltTSa/jCCH7zhHYCpWNjMWKt0vMgn
lHlON5Q3QdW/NNAEzuxE7/HWhO+lxtpuFpMKsUw7KqRoYoOGgZMppobmpe22defXWx302XVlVemp
L+z8JtGhrJVaFGJgLW8KB2J5ayH4koOMIDK3o4VirPMZxsaA6hZtMYHmcv2lYtTjMiM2ZGVGgM0A
F+AsjXxr307q8+iXyyoc7vCPlVh+1WnB8ir2AuHSV45C2SmKy8w2HpgQzpXvRU6bb4hSSV4TdMjb
FE4X/aGzT4Zw3PY4WFd1687Cq5mGLCwTNPVgaP55CODm4PTTseGmwq3CMAErFU9m1tfrUXVGr9Xz
5qA4cNkbuMaMxcd59e0Y/uc+ksbBX91H+X/ti+eqi/Kf1Kh86r8uJBV2KkAeakB5jbh86NOFZDoW
NY0NkFVY6qftkPObQd3K4gg4wR87pe8XElYLR/vji30rer/X6n/MuH6tg5FF6OciVY4BAdRYXEfQ
CRgY/lik2sQdjqOY6tOkUPIhXyPrB2Vt7sQYvcP8FAma9dAOj5ZZb6jGzEuGwFSAgXpl+OIqqbv3
AjfEYhxDiIoQsW1t3aP3TAiEVXoYbLl27uSgvHWUXr0YsVMa52pKMI7RZUcq+7Uf2OdNqKyLSbnk
Mb61p/zeJFbM8SsCyhwwgA7u83yXEHMTkrbIUtTYmU54BzaQtYZ6OSXpsYP8CVrxOMprw7XGc4ip
GxM9yBAFtyaQOoXfaJXWw4sbtQeftX9bG09GQPJc2+5z31q3hnvWi+roh+HRBZPO47YMwvLYwboy
iuoAEPCeLds2hFzoclkoSXGKtfjI3HDVdxxbzeyFak+yQXMRht0hGKZlj8ZDgBCD3XisdbbX7kcD
jJIE4KGDBtntZ9d59geoe5a4j+N+pzSu15sNoSIzi93Yy8p5YZX19dRMTPPH6BSYNoppoKCxdWs2
2XaemqvMaV9yfeTEy4+U2ee9lW3Nudtn9bTtKmgBQflhxyUhQwAifYntFld2aGNJVcptawMrF+lw
SDrIetpUnTHRezYKceWW1jLEC7NgsHLqlPY80DNvDvpdPcN1s5Wr2B13murfCZk76xorKwdCXYGz
8yU4MfTVamln1QG++ICYsoLtOXW+V0TWs92DQC2rceOUUMCDsbzXdZQg2TC+5MyZA0yHgVqtmskd
0CM2Th1vaWXCXVvgYj+JeSZgNoY0aGz6mrrF1Qb++vKGlFdlUXUsN5zyKinacp9bNWkJ8mrVUs04
wEzrvX4iEDgd2fIRQ6jjOZzjK13TaX9UZonc2HGOFRXmhbPiV5qXuT7PS01e8XFJAFUrr/1OFgDg
aE0YlNN1JKbKw8CGtcQgNmiWpQODPuREVBOwIYjPtRgpxlQakTPBmok/BlmCuIp+o1CTFI7hcVec
Zt1cC2oWIgsGL6EUwDz0jq//gDjgXqE3iw+1LHz4fymB2GQtDKqiSFZHBalQslwCcNHiV6WEwhIJ
V7IULwGA34UqC62yqTqvEe4RlRSQQ3ZPrsIN2QtEl70s1RLdeQ9K9ymf9FsC3N/5+ZH5FGpDlDCF
HqT9gEBkij8zJx8DDAhkRVTzJRWi4USnnooRm/6dGKePzlb3MRUl2UXkMinAOKk1oxkcX5ZWR4IG
q3UmC1JdlqYFNWpehgH8jKRZ6WFveJ0w4sWg5Q8DLZ/XVNmbUkiV9zhQjSLfW8fJuPOVdBOrAFfd
uUcjB5cBkN4pUu0XFBIvI1urRT1mvG9ti2KlN/nMFHgFGZV6pZMqjAKjMvSNX+gPLcjLBccUynmg
HEHXMOaNHqYA87KriNfIrwiqQKBHcf2idLXX6LSLo69CnPbvDcqR5QSaY9Y7ynqgi1TcOk6LmuyC
urwJB2TmajxNBDfxdx99/8GQWH+/9G3eX8YakguKX3fgEY2SCV4Fj2VN/iw/nvGRqTh/ez+QLmeG
xkk0MBOodtBNLX62fo878zRmSG+muUPBY+yGUMV32d/lqrpvBwdar4KLLEKxvujU8TwJ1eshaM/M
PLzRJpu4pRjabh33C0cMhmeNynkEC4OGP7mtQ4FUJSttL7VLMqrCMMnX9dAE4VIpfLEgPU4lKawP
d4LKFHWTWOSqo2yAMSPEywlIyJusWI+djmN+uixlpq2tjellVLBR+KcW+bZMlNfyL2uR9vm/Fs/1
y/NPtSp88vdqhORmwPyC0RQ6W8lZ+FSNqIzMdBV8IGlGgqnLv9tj8zdNY1BmO5YkH6kSmfC9GmFk
xpALTR9hsyozM/GfjMx+HECzU0Ddi0SF4QjwJZaaXyZmRqgpQztl4hhmT3NzHMfHTy/LH+XP51Ui
pqqv5Q4aYkEiEx5QTFem/WWk3vmNAM06dkcItSsunQ/WScfUpy2r2w+c0l5NIrOXCXo9ch92GKq2
dRXjVYanaClWsYHcsMlttOoNUY9duBZN+aZAyl7o7jkPJ/1SmwyLOUxPWq+ZCeCjtjJOQdYA+x4j
lAq8iEszpAmG8TDNzWJQzR2JDz4XgnowjCy0gCBFkPxElL5VeuqDiAB/JxC6sv0MlIc4hbDgJuK1
C8ds3ZLawXkTVmcaysVFoDknu0RCkjr1gwv9e8XEhINaiOEiHrEaGHrRrrWaoxUg/llfR09Uaucm
0zLXzSaY6H21TfNiC6Zo9mq/uvHNdEPk08Gh2cAvlT8pKkp7TYwfWaLgJ3NpLQDZrjvhEODRXtss
sBS13BkVraGqbPOy27elSkBtN12OibPH2M72EmA32tJ9ZdvPvtbjcyCfInAVHCHRc4vJEz0RmlHi
u9MgPilYJ0iHx9WuPzZJsHc7ewvf5VzkMFFrvT+kBqYnQjfqstpaU2UvCkFoUjS32zlJL2qfhVAz
h2dtpD5yK0vxYLwXElqZklmvzwb36CyuI5LXlmEzhqvOiXZTStloxiYpMjEO2CoiktRKnjrhMi2B
p6MC70HfCTs5yPcjSVyu6O9FYSwBeh+txnps2vmUROIqzFjXdn5GznB/CId6V6B1DphIAG5GfuwO
27QfzkM9vQZ+B4k+Tu/p2u40375H87IuamvvzOZaGesnS7TQz1vgvEbzWPDL61M24smf38CDrKAx
LEFPeEYynpcDK82uCpizIpNBqduggbLhkFv2E0/BGu/yY+D78WJs2nitdB1vm+pjKuKtAwFBGOVT
V6uPigKU156qRYLcph/dpWqmL3PiX+LbmeEIBOdJXCcbLSjRrCv2TThDzyqJdwkiTP9qhqxTyyi+
y5CaZbbNgzM2+T4i05M5AekBpnUdu+KhK5tgDYYW9Vgpn554uFY1yKpd6XBPD8SXVTifFc28Gh1g
0h0RoGdgjCTuw2hWbloiMiOnYTU0RMi2OoheIjRVdGueW/nOC269fhWiki0oVixIYFnd+w1wA4Xq
No766DjWkXVelQCAqYfwApNxs6wVieVOi9ATIe7GlKC0VTszyslbP7kqGDUSz9ypZ6RDL5xwIk0H
eHRL9VGKstnljOUXmiENwHrVbNk6xKsg6s7JlYdQn5T5RptNcGizi/9JJw5GpOWqaKuCmXSUnmyG
/8kyVZrLuec39v3y1Zynu9o3nu2k2nK+kQOtEa2iKQpiKuXcp3iVJa65SCxzXLZpkV0XJqguQCN+
et8l+dXQ1wM8GeskImfBybKsY+EZttZ5RZmf2RXqLbwX/P/DZd4RV1/SInBG7YPK36L/JbwzXpZz
e44MfxOa4QEk/j2oXioduV/3000+JhjoIV83UQv0mAg3rVUpiUVkv5QD5RB2y4Zc1WrIbhDlDese
gLrBxIJMOXITSW1IqH6i+jA7ydHQyy3O5kuNHKZlCkp5zLBizwOzN81GWud34H1Z1acTwHLSJzM9
W3YAPFJieLpwNQ1t5nLmdPtBtYqnXLQK56/yAdsNylyHzZ1vx0CltMSpMNKayX9CxFMfh/0mp6PZ
cPSH937Fd9C79CYHcIfQjUSeDhP3Hnodc0UThTaLJpTZoKRFYd+YVUFVDPGY1BvMjN4kfEZpSXVj
+dONk5vzw+zn0TLt4ISZXaAtbAD67US1VKokW2AALJYpn7hA4ts91BG+8tGZolnG5oXcSmG7FbQc
i2RgauxkyOiy4tHqS2BzlNg2wUhNAZXX3ifVdKsyVe4j5r9FGd52qX7jdJV7Nk5jvyuUuPYKP52W
ZRcPi1JVH5nkGZ4xiuqhs0q47QXSuiTkjU6aLa4633jQR7e99nVzXDud4i5jYtV/HyX95Qqffd2n
WQRgYczslkap4cKYxRrNPOSz6kTPMnROQZwf2wSU/zjvTGu4HOpm/esq4KsO54/vwyIATSzC3D8V
Aa09Zwlh98csTQ9gmW45lS6cLHviuGSfNLkStZ5u+7Fcp06ybfQQWoK+wJh3xkl1jqBiEbvJJcCf
K6tSV0bYLYnsWuSB/150FlUvjwAZTEdLDZ5//aP/9BViNUnSpDDhO7PC+PwKmVlXRK2b5McBW3Aw
3cjtW1j8jbTji1tcAp4JmTTgUUoFsskb/cfvQlZzOWVJ1x/LAMsT5KadgfKH9JWKe6PvMeEq/YNS
psVl7vIedNXd4ODEKybQiL6hXs5xtg4V7A+IndzrnFupK3qSI9geioKoWxMMkHRRHSMl2o8+Lc2g
89xY2YBKBjeqnJE/J20KJJD0h5lZqN9o1ipMo2SVtMarUutrUBjdklMJJSjA2mVR4SYJWQ5wFVHa
hNYO8sM7xpPn0cY3YyJ8Hu30QBoIMfb2pGxVbYgPMBOyxTyyt0BuFBHMgtdYi4I7v9Oym2owuT+0
4NzMyHporLLdWtqwAqK+rCTufIrtZFWq+gnTf+6NMzocgvjOffW5E+vOtHeci4+OwjbCHrTtFAuy
4OoQ+w5+khLBpaGo3iwoPUYeMzySjLdGJdvWbWbiVR73rEefk0gPX6fU3KgW3aedhge9QEpkNNWa
dAHaQX28yhBzsvHRFpo1j2eV3fyNsIaxxtfnkvcDD6QUpMtpocTFfH7XQQkpcj7WHlkCPRtuQztd
9unRUhgucZ4+ofJGcNOES80akVJ/M8qnB14VjDNhwuI0aA4gJhc40Q5m4Txgvg3XTWZW665TxQ4h
RceoHfpST6DMSi1EttW51L1Bi2SWBcww4hauSJ7JMZJV10HGWoIkiILbgC6d5S4Y92ptZTMqCevZ
laKMXitsIiL0W0ufqJ3JJzRazcNrgi6J1F5aa+sBw9tu8PU3onaR7Q4cA266tfLxxndJMOzrZUVU
uWUieB5xwEz6tdn3hyQOr6vIvCKDfWNN7YOTJGJB3aiurIrch7DqV03H4MaR/igjVjyV5buHvetZ
4T2xLF3jUTOUBy2E2lq1aLlCG8TmrMD5HIuVJuqNCl/GzXuQJsybiDhH464uEWqf2bjgB61HX5XK
xVR7Ywzl0XXGXcPmHJX0a8VaO7etFa56xnm5l0BdBId4bufWeiARM7TJ/4nYFupudJmUSrIDhbwq
mmllpWAcSwqawgroS3gYe8W9HKr2A/wjkuNJrioxA7cd2nXoqHpAUqhGhFNjbCIDQZujBdlKBPNy
kBVq0oXnCqbuBGFyUbBHUaILEj4WQQhFP1HOMm7xcAiwaaWPfdmsK6g57k4IT9O4NVN/ID+D6I2a
GMFOqWKyLpRNPDhnM+GQtosWetACCWjh0J1J2IuZEOOMvoCBsw3yFjNadZ7L1WjbpgqRHFJZl9p7
EQxnpUxiMqXdDTcY02GA5mGJg6mhS0gtVjzZquhsmVx1YZkrm6zswTmSbGlN64J5n93fl6rCiEU9
MA+v2WGJ8zgcCAXxff+s03t72QDiWNoY1iBg4FKmbtgWU9t4RHZt654qxC5wwdtYHHu/1v7mavub
J9X4Ms3XQ3fCU5d0oGaJe2gOWT4uxx5r4nBK6gOYn8Wv7yMa/x9v7B9PBinq+Xwy6GGY0138L3vn
sRy5sXXdJ0oFvJnClGUVfZPsCYJkk/De4+n/hdaVukXpZ4fim2p0I26LRBEFZJ48Z++1WRnK8g0c
6TDdwPotwkd6o59faFXl/O1KaxYA2QbMzyGp/PVKYwsSlIycCdTpHPpVTEBFHCgroKHcRyVix3Qa
CLgHtVNCWjkhydAdIykZ5CUMdUd+r9vK4h0NwPVUqJbDjOKLiMtL8uVuM8o3Tj1u1yq3U0gGRtGF
G4gMX4tEexBRVt2EfTr4Ogyyba73Rx2SKoWFP0OEcCnxtkWnmg/osW8r8mXopBx6FU6BqhyXcN7r
lX05puGxYds2yVtJlYKXSax59O5UyQ951fhxFuyhj9Agniyn0/PnRZp1NxvDp3qyGwIz1oTaVg1/
cVf/2m/5faP/+aauOrefBMmpoRX4VazpbE1fo+Vltn6Bvf/V7/+wcUgio0YO0xk+5S0QYqdW73/x
WHz+VBgfnj8Ui6mUKuF81pUr5tYOt0mK5t+7iv/fsnS9Cz9GZH/cJcsyKEkJcjA+PHqT2Y5RS27Y
2VZcpXvtxpya5D6ezF98G99TAH5c6Hv7SzVNXWartSlN5Q8XmpMYf99SKWfKmFc2Ne8u2wQe1AUn
dh+cwnnYE2Fy8XITu9GXyX8mE+GFN7rdqfvP76qy9tl+fJDf/+KfN/wPBaA9xHZlhywj3WbwJBd/
7W2/za9hhforpWwjb7nPG9mF3OxEPpHEg6+di9fPP4X+T5/i56dzXXx+ejpJqM0sBYrw+RFrjG86
3ca+Mp3LltmSt33Q3QvDy7f2OdpMu+JW390FHsjOHeues2xLCDQerTPP9sRFvyu27WUEncQJvS+l
059J1d7qe3tfHsddc59vbj//6OqvHvwPN1AobZxVIua5dEqn2rRv1aa6kz3wIl7gRV7sF5v8UG6v
Xi/8fq+7HNiTA5OFQ3LGwekGPrC3b4H75fNP9V00//Fr/emGfoSFxXTcG9PgU0V724ncZZdvg7sC
VQDjBgcfrUOwpJNtrXO9U77SSPM/v/76+P798j/eow+rDUuNmNtqns7SUvrmOB4XkZ6HXip/sSmt
q8pn1/mw6lgAYoZhIeySmtoZxldp2o1IiyAmSMTcVZvP/6p//qr//Ks+HiZFzuKv10l/RgTJye+m
Cq//bxf4cOZTJ2jyBmmh51Q/Kgl9QNv0Pr/CL74Yc30Rf3rRRF5ZhTnzopXVuc3TTaWAN7V+8a38
6j59WNxaOWuTwUy687R+K6QZY+t0/29/x4cHrMfl3jNsms/jMLkxKbIpeqD86vOL/OLpMj+sSkYQ
ipnmHLvBZLiaXfhp1l2qxI2Zc4sPVDkPgAA/v+Q/fj/6dxUJPA+YmX/9fizVVIMq7vqzlr83yYYY
Spp828+v8Y9fz0/X+PDSZKAcRR1p0xneLP376zz/RVfhVxf4sCQuaT6pSVkPZ4lFm2Z0qma/uE3f
98fPXvwPz3EUM/QJMp5jzgYOeP3DsCNs21kwoLiRH172Tn78/K6hCP98rVn/6p9eHZn+n9wpEXvU
I41hshjdU8i1nfFZvlj2g3MFRZR/cHQ/d0novhbOTeevu/rVU32lHji1Y973587ZFW60/dXH+8eN
HLzNn6XLxycnbkaJLM7uLF+uG7lwEGRr+0J2nXSreQ+Fc4DMeXyXXjicNffzkbnyL1YvSK2f36EP
3/sgWiOq7Zlawhu8xZsXRzEc+5h5NwRiXCCK9J6UTeAUdGw3iEK2lit+sUL/6iOYH05FYuqFVoxV
d4YY7Ewenc3km76B3nns36Zd5ecX5lZsxXv4pLrTNr2EIPz2i+fkr3PHv9WQ5ofnJB3UXGsLHk10
eRtCh5x4rer2qXtHAuh+j4rCWc7kFTwQ0+zlm2prXsE+9Ho/2kMW/5r9YqX8fjD726vy43XXP9wS
S9jMhgqWlNrXtsbWQMO7WTbLRXyUnVdCpzepa+2rHU29i8k1733scXxF3Tbd3MbeWiT8rzj4T0a4
ztF/Nbp3s38e3POjfwzuEa8rEjZgjLZsBN9JEn/KCDEIAx8lWExnqv+XIKNVK6gZq9lX+87h4v3/
Y3Bv/EYWmQqTAgIXSm+aev9CR/gPg3ULDbotIZDXda62upR/XghNOZSzrNHLS8VitgLobw07WOUu
8KOQvIYyrbZ0k6nzvsgL3B/IuZ5y2zzkQ7yx7G5bZvBr+nqf6OJyEUBqmMEQ8GmWF1lsorSLmy+z
pD1adgUQrl3F2qLzhzm9+z0PtaOnmoZ0IcvEvJ5CSOROsySVxBycmHHP0kfJlyfpTALO4CHtG7ZR
EEGa1y0yIKWO5GaZQVzCBFIOIRqANliCMgbBqZe73hhzDygB8QFr23cGlQNWjg7W1E3eMEj3AzQL
E+jiqNDn6WyNHpmEGEdv9FdS0CO3yvm9tQ1YFDbNdwUTFtoiebUR3PtzUDIdzqM1YifaL4UW7LOK
LHp0mX5ZEK0EFyE76roYL8hrt1dkH/2DJrmP6xxoddZxDGNEjmTd1Veez7hom87o75q4ZjyV1veG
GV5WtTzSsiBve4K8qNbBqjwqeq8QtBJHTapdexXAp3V/qqqEqKe5zDZMHrdVox/0QvmSJwMOt9X6
O2I6XWhomyrRO3MafxuQ1YXFcl6UfEAWp6lwaZrHrBNu0Jdr0kx10UcWKUQSiGsOla5YUHeWKcbh
tkxUcBqJ6mWKASrCuE6Dmdbc2I6esoR+reXWZhTla62AZ0WdB6ofOlcttqWUk/ATX8pZf1RVhu8s
r8d64JkJ+vaqjo3OsVJujTTMva+tGgXYCm3Sb2sQGaYeof+0S+HWQ1LuUplWaSW2TSIwWZbtaUnh
megNUTi9ZdwohnKyGXb4zUxZqeUa/VPCpxmNLrGTaR1uzFQiD28M/DZs7ybSgTZDUpxCLfg618O8
yYS1DVvV8PRO+qLV9ddErZkzkNI4151Bwzy8Dkf5Qp5WeeWE9s/+1hhj5eVDyz1sjX1YI6xEenvR
9e1lTA9bXJelmS1v85SlOxN5m51WX8CI1WDZCAZaBYMFQ5xD0tlPZSrddHrzzapmtyHxtFrCTQhN
q2rHg93BNpGUY5lF57gsD1PSnosyuxoKRt909tHtB/24NwL9fTFEnzjJqGrbuKcPCttpWG4VYzmF
ddNCT43HDXL5yRlVg+tqWySB29Fc2lWVAKtLvWr0pxbyFjNz+74ANssM9dgoDQHUnY5gTXXCarnq
FwVVJfq2We+vWexo1JOBTgQQcRfU1UEdXKltd2HpKogWqzuWfXxjyubqi7ldANCCZ+pVDvox/NaG
TCAtN4utHcrqholevFGpm5kphbsaEQ14kcjyS8Yrjuh5cooKWWghK5qTc2qwJvFoasV72UjfckuB
mlxmX5aCcZCcrgCrSvN0lbR5qQlMB3ntC1PR4ILsthNhtiwTknSVlzkvg1nLlwCh3tTFnHxyNN/6
lllIbkw34FDQyRTDV2Qfm1qTHufYPMH53TBiYdw78b5YWquBoQofigm6OTaZTWXNSAFJva2aKzvO
jpKRbJYWZIFeB+eEgAgvNtJdSVjZwRT6vYXkliszpbe1O1nSFUb3gHMXRlh+NSWTXwvlNPEaXJml
faPP7W7KNGiuGV1jkyhbpUooVkoVq5/ZIQgyY5CkLSCWuH6OalA23Uw7m7xOX7bK99B+jYECtZ16
k3JP2AeIYg+LzOky6wpr0UYiA5wljJkJwkeQ0csYu+OQbCHBoIJOMhvvIwlZ/DrLAmyq68Dr9fAc
JZBVUG4MR03IEIFCed7pzL6mgn5rXoGSKWNsJVaxI9XX4rVtwv1UEtAhYMoSrwIEkomJ+VVql3jP
cuyEE6rGUJs2IqpvlRi+M0Ea6L2NnkSaFYIctq9M9cmtYcLR6OaCzrGmtGdWiWrsttenC2ycCS6Q
etuTTKan1Xksq2xfyeNl2E030lz6TM3njU7OelnbO9K8RvQxc78Ze+UttZHdtqZ5nUcmFN0Mz+D3
MuK/ekrjVPdJPRXhA3z+uyNj/amfSilgXfhxWDck21xDqP4spdTfkAUx/V7teWva1J8aSE3+DRsg
pQ0UzNUoKPEL/1dKQS1VWHD+p438t5YM/fuQ5kdtThtYIxWDxFDT0HGAWPZ6ovrpTKmsF6+yOiO3
0YQkrTHjlLXxC6m4ZNjV4rKKpAY5W3xKM2hUzUxw2gwaz8KlikbLQoMQn5jn3mlpQQq4DBUCNl/l
tOHioDPfWVkPRznwofTtRjatnDxFnPi5x0jjqdU7EJojezAquHbiHTeT09z1byYoohGRfycQds1y
daon7RVL5Tac7ZiBdAlVOs77XVI1u8a2j20S+iVq9oWcd6xSpNboA5Ho5b05DudRQTIxN1oMWEN5
zoC6KJL0iHtC35hB0LsV8shtw/QfiBW5OJrRHnCEDBsrqAiEETtbTfw0Sm4JuaqwuVETDNV0Xcgr
u9KqNqOxJurw4Y6qiQ0FPBZys0IuHAF+2Vazb5A4q+2sMLWOQxZzMQd3TVa+Z1U/eVIxCobZySnV
yOiIQyUFZFllLhh7OB5TOTMNtXx82LDJusILx+ye7VUcctLSCR6/jgimcwrLPsgItxym5ie7UO5q
9lKK4usYDZLfL2IGCjWikbbeZQG6j1zd6ymiUtYs+ylJ5BsapQK2CkNs0Iu5Oxvq3ZLHT2lRe2PG
rhJbIMzUOL6gEj8mtfQOnM3YIa3UPCXuZx/wKnKEQL3uu+ghSvj8IdmB2HbKxTUqjZq2JAuzUDU/
b3HwJCnWk8wbQzIWYyRacydTgcZcRwKvMgd24ZRF9IiP82ZqiKgsrQotlkr+ekjXsy662elQbngj
REJUGeCu5DzVtnnZX5al9aDLAd97SzEoTzWywOpJ7uOLLokvmtiO9wLVKtEjbF2agmbAbmfFxS9J
ElBXbQO1PBeRfcHQ3dwjiEM72sZnKSmf6qSON3W2pjbFjTdB9DZguTmMXZmfZMOulqUrRWndSh+J
GZCDYxP2+7ao7nsxbMu2OEVludGMiYykPMa/2g42wOiRGiJDI2ZJw+NSx2/tgJEpmbZjXM0gSOvM
KYxVZMVfNZtXZT12bmoPt1aabTrpUHOKH06BiDezZCPyLC5lvbhSBhR0+nIpegN/zzxsiUCgMiBK
uy+jhVKXI5NBcjwPaBy4hoDpVRMcWhb8UsarlYvYMKdO75l4SMM7SLDUm3IVwV61vqpp+zIh4B9L
C5/P1CPvqklKIDdmi+l9H8noRJdAY9cjCyB2rMJGMiqm0NcnNXCZhY8bW1hUSBVRTlNEblyQJngz
tG89kc+bPkq/lerwWC/962KOCYIBNC2hOl7NPUcFbPQ4HzqjoxGqDGib+0JpjkqYdUfWnhUrXLGz
TzVmmCLv9nqRJ8ZG7VFN3pOlaVnbCLvxttdwxTC3L+B8mlOz4PEk4dW3CqFhvR2Qi+9wxeHVb1Ts
qmdR5HN/a0u53N2OdiPUYz/1DHP0IoseIRorw2XaVbsypP6oEsKXSy3VNnGsh04NxVRuwps2UAk+
TaeDphX9phENbiRhHHVzij0OuBpKQuO1LsvWSTuD4IBEe0wFhORoGNB0SotxUEse5rQAGsh/Th9N
L79WgfYcJY3idRYyaFSN75iCqL2iFfdejIojSQPikw6d+JxOp7lqvSm2aelW4qQVzbUI+mNulV+p
gN8XgZR4wrHRcnClONYzt1WnQ8REWSLOwDar5zglriYOUE8rQE455jMk69DOKsk5aO0LkcxPWaS8
L7LEbwn193TIsYTEnlgOMO/gvesNgN3mJl0P6RIRWtPkTdkxi8yTlGaIYafymYnkPlLVxp0EDe86
XgqHh/FsmGvOhG6HviTENa0LxRtNffHiqT8xvD7a+hS43IVqZxacOtpS6raqNrC247hGw2ES44cJ
sAjEXZd6ix4+KE2LsgL9KC4/9H9Wao9cHP/MCuxXF0ReC555T8XRhyhjKi/zqRp9DNMXldWhzrNw
NIWyeRmPxYlaD8c5ca12ASwsb3dh3z0b9jj7UI1v50zU/pJDeQ1sNhA96e+DHkJzDzCSPsQhESmf
sV8eEUyi8O8NjWcAC60uKcJtyu6tte17FuiNVEGlyqMOxKW6o7t9Xw8k58bm5KJO3tejejXgQ7P1
8iVmo3NkUzprUndE2he4hGoEGCrlhvC4Zh+KgS2hG0NH0fEYRWm6t3UIlENYuIml1NtWj0c31loU
5f0VLo1NoXRfhhzrVUp4pNaj/p17bfJTiYwqiAY1Z8KAtmbIv5qU9yAYEbYKIW8NTj37jhvqtrgU
pKpNHMvsDn1BGVsbnBra6R4HgOQjBj+lLFkbES/hVozyMcNL784jGSJgLrJjKCvY7AmoFS0arK6Q
8v2iAN9FDAMAmC6Dm5jwOLT4KuqTL0IqEXkXNFxY5Fjg9HG35AqvhG5dKQ1aGUvGI2WU0ysQrwdm
arjBzVcUcq+TIW2qFkB3Gj7ioza8jrTpIK8epdLaqVpzO1rKEa2Vqypz6kpZdFSa8TmEjtibypud
Lgfin69Jk8Nh1Um3hbYu4kLHlNhE/5Xd/8PkMpT6pOyOWxKDy/4fCm9+7qfCG1TgaiVa49W/UzZ+
KrwhG0KsRmasrtKDH4W3QrQSmj2Jeg3/0Xdf0o/Cm9R09Io26+vaFTX/TQ8TpMdfRhVr4Q1dHSLv
6mMirM74UHgjKUf62hjl1dRIvGCDNgLy1ujMa+MOCwBjyxmGBfACULqEKBylLKeoNGIz3QPzKB/j
PGhPhoXkvVXV+jZh4djhNWrPYxpU36putYBk0FajzJxhnMszQUC2GFXknmK6apu8u6wTdKJCMvDo
ILUm7yyQM28pguKcYsuE4x/d0PTRL0NZFgcljMbtYhn5fWfNOkRRk1dB0ftT10YmfumirB2zF+lG
1mFoIEftnEhtlTd8AdmjLmXFLtQxHBdV0D4PsFT8SLLI5GzscWsmAIT6aKiux6Twsz7u6O6ElTeM
sgZDQhTa8FriAdSOchEsMyr2Mu2xNHS9eNNCO4nOEdD7mhK2LZpLM6JcNEN5im6jxGaVR7cJ4IBF
yBzPFmh7g/AejawVYOyjZQJWG/ALeDpVRHw0REG5HPfZ/JIMSp2Dx7bJdA+mJ2PM1OdZmHqJeNIo
NhzfIeT2+HG7sVye1041HWElllAEgsmNQ9neBtUQvvAkxa5ULMtz0EbLmxFPj42oN0UYH8QaK5TL
1DSj3lQ7UY3I9C25n7cpOn2WvG6+SMsJAyw67AlTQiky0E1hjKC1U2nzDjmFdVo/aGac7TNbvldZ
oHeVqInik8bB0bEDE4XQGrcW6uN9JwgerqTaOE92LXnAcW2Jtole3gWtlFN9ZvaLMEdxULPOdKop
vwQzJLymG3CECtFO/pjVdedNQYzLW5Ttfq6CgugGCzs0VcrXkHXPW2wzuZ8o6y7MREtOjHqTJ/xF
5JEv5nzRpkv5tPSTOPLw4lw1oUolYRM8Wks+3hdJk/l9OcW3Ip6qq2ggQaZAyp95haahRm1bov0G
wE8dB0a99UJ8+aYbYuSGmMTyiyCeLIKDOY3q9Ww0Fizz0pDfqrJaNnWM49pmbXdwqeq/z4P/a4Fo
dCw+WYvL7Ln4B0rS+lM/rcSrw0KGkfYHXuLPlVj5TaMHgp0T/yXdB2ZQPyhJK92cKke1JCwIK6/i
j2kSlCSV8gWkLEpK81/aQGVrnRb9pQVigklaOUlYNQ3FlPjoP7dANCtPGmqa+dLqwuaK2Up+E8uV
+VhmmnKYxzR9muXO3FgwQk80UQMaiUPk0WJYvpj22N1GUpltyaZi9SCLzjdF12DlryPfqqVztqbS
Dys/RV9JKurU8fMDiDkP5suqP6+mneAAPylL7bQdphvk/ikGcAksc0HgvTQTzNRAZvqaR1F4KGuo
5ZroEk9ZSS+tZVU0N+YvtlK7JIY/z0FuHvqVD9OVYjwWKzOmKUeUuStHZsqky3Qly/Rxmrq2UZOD
AXZGXe1lpa12aOySZa1vk+StIq5XgwWbewRUhSvU4SmawoBZ1eDGa7+/pKqbkiLdK4tNcJtmKleh
HD5K6UyIrtpstKq41ks8K7HUiW1nhAtJTr16iCLJ9DPmTDKa/n3cabYnRSQqp1mh+YOiBFgfQKBz
fsKymVcjmQvD9dIkjBOylvAoQYSY0HUmITj0ldA+JypL7zBzd0TPnhWPleqBRgLii4/Vm82x2tdR
e+iV5CtoPBg9xH6SfWIkPgYOolPqpXMJGY58ys7Gy0QqbQJD3iWagI7ahO6kD9u8S4PV8V49D2WY
nKZOewPKgR9fCksn1yXLG2mApUl4Sx7eNYGFKiLhaasM2RcFnLd9odmkrjUKIKBavioV64sUtgRW
U1xWzN0mVmFIebhdwBxAzE5xJw5aSJAfB3KzyI+tKr/petnjDRlvhyjljMXpYk2vZoKQS5dmaO+K
vNwOqn6RTPapGqVtJPc4/LOQoJrAuAJivlnC+DJf4s4xOoIHNXw9iz6fdI7DVSrumfmy/0/aESco
/9IHX3OleVFHmfo+sl6JSt+ST31fM3cAKlAxr1+jFLsCX+i5Tun0u4pq9K+axYiMuqyJNkE5Xdgj
e75vkrlyIYPQ63E3cOyp7ED1THJDLkJDiff/9aO/W/P1T+f7jFlBL85/r4vXH/tzNWbJBf+Dp0uC
cQ0x8i8NaUNRdVWXWQcppf8IypJ/U0E6mfjAQNatXLofS7H9G/8/xGz4JNh11sDRfzHYNyU+11+X
YvDLVNgMZ/kfPsoH5Qqdlsmo6za/KmRc5KdW6ZkCz31MdIFDaJNi0zRg9SSurXql+Pm6lEu0nURx
qwlAF6r5Mg9j5Fd9uGsYgNdVXGBG5qHuNfMsdXJNcw1eC2suWUGljSU4nKONUhm9E1XhWYggXckk
nZsE5WU7d9/E+iLq9vhNq0TpRzzhvc0LV1rxcdJWb5SdnERVXzVSqXtlpC6AMIzBIwIoo3PbABEh
mL3pm5eBmhYf4LwlpuxFTPImGjscmVO4M83uXDAEdlIckI5ej0+jJe6zbs7cJJVvVb17DC0maeRy
WlsZpOBlyOHIpxXbYTVLGx+LwjPU/ZJT+wBTg00mhuJbrudO+gB4mzmJEvx8PSnSIZf0N63LtypH
1laLj9p6hm2EcCcOtTiX+a/tXS41jz3rUjnRAiT29LHkOGwnLAQMAjkh05B4bZT2slniB50TdMoO
6gH65VCtG1dgAhmkct7OI6Iskw5y8SL6cMP0/pZwmzPAzvPy/bguxXDv1iO8Xlv5PsGN4+jrAX+U
tCuhj9mxXrOzdBFR4E3yMYkYSRDKZeDgyU6EWUm+RffAaDmbjDXsafoKVkm/TLLzywqjHl2vGkZ0
VShbmh1ba21MNDF+8YoM5W1qRo2XrA0MYwgmX1+bGgz4aWDMyq4Jxy8BfQ8iH68Mqb+UygL8k7Dr
bUPnd4IqQQ49Gx9blDOtjRRtXEjEprcC/w27viKCLS9a4I7lcJToxERrS2bqmpcE0h5omKuRnk2Y
0LwxlGRLOuZ93mk7W4ZWkC7GfZfUdK7DLy39H4oqQSKJQktobQ4Na5sIeOBjkdR0MRUiPs3qASN5
62XteC/WJhM/mrHw03hS1w6UwJamKgZyE7l8z1sBRLWsTtpsX6YaUIBuntjxaW310zD609rtMrF8
8q40lpeUseIGNMXGDq96CofuuQugy5FvxKx37aKpaYLjG79gfI/tLeMJpN/GuwZUgg6c1ZndtiCK
FNMUR5xJVgJXLaUjaZ80IYlWzBMSjxbaesDXcVIX9eKZtPziQinYfekCxt/7gTQGAxqE6cS5hWft
VlMPYn5PJUJaBE1FEkt9de0yRpHpW1qJId98B3eGEsTU3ptFerLpUUpjdq7IfFXW5qXeisg3ZnT6
c17fRH37nGnQ5+N5b5XLQettPOvfm6ETk3qLKXRjze9K23wNRX8cy+4a0f2pG5J0A5jBW+iwqjaa
DXltusKPUIh2AoLXry3ZpuveK5HncKBGhSxR8zmum69EHUj0KhmIKWtzdxoteH6EQBE4ICzkSAiQ
ZNzBxgxbfKA/3DEzxHeJw48F+diuTeSw7ftNtAyHbm0wK3SajWh6TtbWc7U2obu6zfxqbUy3Ghr7
3PBAZi1uF023nU4cHOWbn03R6MGsUvyi0BteupJXwjLIEY1pv0/BuVwDeLU+QJsnwluS9y7Lyr61
A22nTjPZgrT41z39JqiqcxjK9SbsrOwRag8E0XG4EPBJVwchL7aePJgGoxZjGNMNyyrQMyV6mQqO
5L0Wb+AzHljQb2atZKCCJsljA7imKaJQDOrewLx0G0l0ZIdW1Rzd4NhqFYcoMDQ3rTO4bsN1rJMD
qtAOD7Cs4n5rZL8IM352GG51gnt3S9G/oASi0Qsq0lEKJQLnWAs3XMS7rdFh6aIm3tImuIb++GKo
vNt1ZlpoO9Zc5CnEPAhK8iyRKeaAWn6UrXxtPdNdzmfCZ1Ug/Jj9Jdi9rNl6VUjAL6Ruk3XlC+Gm
D1RMmjsGxYYU1saR+coxteaNO6p4c7tJCjc0obinQ2zsGTXu7FADMApbi5cGIH+vDffRnF6P7Ilu
l1D/xjotVYzVIfyGmcfNInWlT9Y269r8qcQC2otDOJT/EjkVAcuhBAdSpMa9TtQAmK5veqlfJWH1
NqGpcFoteTQYjgE6BhFl9MWFrBr1mWb7if0fK6FZ4GaW911WNa42K72frs2oOkuyfUsIrarw4pMm
9iAAjHVx922ss40dJPds9tIxNpiosf/v2zi8NOP6zl7SnSra0TEhaEG9QMI10/8KdNUxixkGytoW
Ixti8DgIvsZTKcBpkLpQr+f5ubRu5CCvfX21exaQXvyqAgAyZH2wl5r52UCJy/c5KJs0tQh9ZXpo
BeIQh+Fzg/k6TEn9mZIKiFvJz5vVVZkOMucgKfTBf7xWCT0iKGdPmhTjjq2NK6k3vpSaQV8nm3ZL
qL4n0miyxgLUVhTs1taE19gwM4IjjTZ1pHLm8UvkDvDqjCFtkZ+Mdjij2Yv9peKLbQSrdjST8ZOY
8AUNkTxLhXICuRW5XRwkSMaqY7z2QGB7becFDluv6vDgpHSXIPxwcZ+w361JQLUSFG65dk+QDnyL
Qjy+tRU2GwRzEim4w+CVEqSvlInKLIyHnMwLMpgC3c1rcRc14z1zdKDbse2WY0ZEE2yPsLfIy21L
cg216LYzoNEFWbfvQ5Igc8m+Z5R1FWaj7SKSGv28ElDi6Pe7UIg2UygyD+XaXlA58UImkgtJ/KUK
czKN2M+5W2whya42cDWuk88RUZGojHdDEndCtdgEcnREqZ2+m6s+ScmU12FujjY7uTOb+mtL3mVt
QUYrQvkQFGqB0HIg5d1IH8I8h2Q2NYpr9bhsRb4JgxfJCi8oDMgcBHHryH1yqFZiI0iK5KzE5T6o
G/7NSp9Cgf4rH5M7uWF6UPXixswZjyp5udfs8WGi5gIKuRCPUpWFX3ewS5CPoTRLa/4cuMk0HBti
MUrtaNXllWXNiMfMOnN5795pPzD7GtFmIQXYgCR+rAZe3aiRr0kQxjgwqyfViDsguknjoKq7ZeKG
ZcuUVcrLiXW6KU6T1gBFM7SDbHWvSY4TRI7Jw5nAvYOIuV8yOAdzdqdoyCzGliXVlECsM6e2xkJl
KAHRscz6i6ptNoWEBVSaWzCWUJN4apM3m9o4GohrJkXtbcmbw2LDlQmbZa8oxWMMJxJ60n01oMZq
qfLMlKUvqnkyI5skyRJpnlf35laamncjoqQzy4lsdGq+IZHdOEsecTzvMTB7oN2eCUF7Sbr+UtPq
Qx5jmg+xPwM6ZKdUaxJKzJspkv1J56Aa1OXt1Nq7SrOZVgkO3gmRkyoMdZlhlkp2FQm2kAYvmqnc
Q7p2M10awMAl8uzWoamk11mxGI8zSEg8Z0If+D/0rhq8eZVr6ZX43Y76X0NQ48T4SUOweyZcLHvu
278fQ9ef/PMYKv22xkjhEFQMTpd/CZqSEZJDh9PQOX0/iv55ElXp/OFZVWybmkExvg9N/mgKmr/R
DjTXlAX06qaC0OpfnEQ51X48iSIxR+dOPoOs0Y2T+Og/NwWFJdS0mbLyskfKspwSpdKTs6xJieJ3
XU6obVwPnZtn+lnn/Ifm+FVjQOI3Sn43yOiuczm/qJXmKZvLQ9YWN3Eee52giFeT4GTp+qmaUDEV
5rglqDQkPia9oGP/sCTFG1DXiZ1PaclNNsprPSSpIYfeHXGo7GFcsBxDjcq65MQABCqVBVlIHQr5
hZAhhxI+zDaQ1Sx5Dwq4iQ9KanThNiUOd3EkuOdoYCuVbNFAoPyiFKv2Zmzm29okKT4DU3SnBh3C
y4A1sIfTxtjlokni9imhbPH6Qc2VzdAPCVVknxxNcoATF+d1y3S84bW0vwNU08IcFr/+DlbNGcOF
KJanl95YI3ez4sFcSayQ4DmTrWxWIK1VUAaeOcJtTSwIrrQoT7RAa1dpO9SbYF7rJcD+iyasDIZ7
BRCsYEXqAMMODN+LYdxDHvMG0V1Mo04Yi4FmH6Rskymom+JnTu9HyLLCKbv+xALEgAgcrbVyaRtb
vhl6sTcA1hZBfbYA2P4/9s6jt41sTcN/pTH7EiqHxQwwTKJysGSFTYGW6Mo516+f5yi4JYvy3B5q
wQEue9GAJR0WD0/4whtUrZwkUrfkXD0E37X0ELr1HCR8EL5tsvIHJ+alg7anGprX4HFmPkK5ruKd
mT4tiiLOv8VI6VppMItzeb8zqsuyBkvQY1CI9G5i0YBCitexK6Sd0Oa1E03FZOdnqpDWI96rIeIL
vGZfzxGCBSHuIvLrRPVdieiv1dizHBFgdG5Ocek+swHSI2JzmlYoxCMaPKKa3iIirCfpKd/lNA/B
2yAyTEHjtEJ0eNQMQpr6MDTC/dyU71UjXOBHeZJr9Q8vQzZMfPWeBZ6PyzFIlH0beWNkQKg1IHjc
qD4w8vC0NNWLgoClHqVrA4HkGKdBEb1RRUwOKgQyoMVOHCSVHaT62zS+AdB3ncn+ZY30spsbxxpS
zCqSzHLYAkYalOMOsWacMuqpg3xzhIyzi5wzsMVp6aMFjMwz7aCjDtnnrEK+3R7KdWmp6D/0l6VQ
iHa91riwEI0OzA71aFc/GQw1OStj5E2SKEZkOlAzDcVpmqoToy/OZADuncKSaoS3dQv2vRAo+Bw4
/AAsXgYeryfasQVcvhe4+R4HxzaOrRn6I/d1OLD8wNjnubvfC9S9pLn34KpOOoHHt5PmKgLrqEma
NYkEZh8dHSSBn3D8AtEv+UBy8lZK0Z5VTlxdv9QF/l/SE1BoPd84Da7zEJJApSfQ3WEN5H4kgQ62
wkXRKyc11AIA+FODiE3uqmbO6uDbUini4wV+XrioEqRQFFTBVfCH6iiGvICqzbEGmUEBwJgQ0ueC
5dAVyQOBKF/GKM1UwYQIBScCg9ILI7YPMsGWKAVvIhUMCldwKaigTTPBrlB9A4w+hAsk5KgMQMGg
n3hbC07GINgZUjKeNgoqyNA2TMHfkGzg9jmKYr2wdkjD9tKE7FE75qFkIM8iNfEC6W2qF0F3Ai9p
mLSCK5II1ogj+COqYJKAjCsWYTMcZ4JlYmrBWRQV161JpOf7/ZVnGqx3FDJTKCqtHZ0RsSpTFDAR
XSzDa0fwWXCWcFB7hOOCd3x85Btm9G9gxjMwQ1D3Pr/7r9b+Kll9vPfFX/269ykmCysSGn7c8U8u
kr+agQIPTTVLRwceMXrUXX9VoOU94gTuYu5jrngEB99WoClN69SgHVJATf9nNkqGIkiq75qBQp5e
+CEDhbZNopD3934ag9iIeYyz1vGjahZq2rVnyIh0p9JhE3tzpcZ3wxAAKrdtDvAZIWFMEIFUWuew
NiJzmoNsXnghEnxSBlw/TID/KAFFZzOZh03+4Km9AsGmbnp4AGbWSDNNar5XHNaXA1Lt+2Zp4rWg
D1CUemtmFii45uhDnRji1jeol6C9p/yo3eqn7Db1Mu9S1N5DJZiiNxXNQcRdDkp/AQrLvCjwbIUE
1eHUF6cwPAFvTGIH5JXXANEenNyBGZKQtUaL0GukpRJa7jxMSHbtJnhUUrVHv7ulAl+zWZemqMZC
m3EntYbgT+SmypmrhpBcm5R/8510aaEJOcl5+1EYspfU/3kXyGmjsGsvNYETw8E9xsk9xNG9x9m9
LjnO6SCtagL+I1PYv2d1a4DqCi8zoxIB0FErydRaTA05qaQY9kexvampg9oEblY+mcxTMc9xnXdw
nwewbh8YxXhedtEwA0h/AwHqIcOxvkCdb1LiYY8V5LlRu1deS2bTofDdopVf4novN84JkUw1UyvJ
RIRdt2AWZbdhFx+iN3/XhzXS5I70s/dsZOZqZxHE7b2ROus8tYoDRYfCEaa1DWiXacEZHt6W7/nH
QYDqfoQa5b2akhEO4Xc4XAmq2ihh4H/VY63jcChnwJHHqrox2+qOa3ea6Wo2j9DxnAwejiGg9L9n
eAEvEhkSUW+b3qyS+6uMrz5+AsMGrUziOCoYlMRSNvX05jwX6FlZ4GhLALV6Xt/SOnxMsJpeuJry
mAvsrS9QuKmrEhCCy/WI3BamwOoin+nx9mq/38go2slPoN5A4HtzXTuQBOLXo3U+1eyMjQAceAAW
rAMP1gRO2KHYNFfCimqUWf2kBWjytDjzsPfzaS6wxsFokUi7zgQMECp3AXuECm88aQVK2aVXQ4ir
TToAzF4Lktm3+zMNaLMKxNkH6mxGNsYmwaJRD5Jk5nYnDmMiuPwtFyhpE7h0lJg3Fr0AcOwxTLFw
mLkhjGsUs9DXXVdpfYvGnTzLKMtPsjB35pXllNPMqR1kcdNFFuUnqtrsUy+/rgBzR4V3XCd5slSA
eQfqcK4C+9abDpUwgQQv+/4siVWiFjm+80GNGyY4JMob1kFYWMeqQ00bhHksoOZwSlVqMRF+CwKI
7vlA0sGlBwcNKHUVtDo0o7tYoShsc71PTBDtumXcNGV1pgqou09Xf9YL+DuVL0SJBSTeF+B4qan3
qRhSZDPHfiqBZOhM9wYfhhRXVagdIyj7UcDtwSuiT1PHsxw0vjuW60LA89UxFtxRdUlTeyRyAMTv
MK3TFly/Cr6/7rAS1QTkvw0rHcm30lxG8AFo6h3p8AMCqu+TXlAGYrgDMhyC0dSuXOHIhCwyYvdI
pE0iGAeG7QAJokzraemFKkgJCuwE02n2CSkHMP62iwRVe1HCZHBhNLR+dSI/URxy+zAQpAfXSi5i
WBC9FUiHPryIQBAk5Lo/NGFMtF4MSaBXDWHkE1Oi7qJ5LCgWo+yfjIJ0YdCankll/NMb3asip10/
KJTRNEHW6P3wsczBvWXUg2VB6ADboE5TQfLoPGlc1vA+LIFMHYvxYhCUEEmQQyLH+9ZrwbwRrBHY
I4hctws9Lw8NGx+8VPEpXAqyidaZyEmambFwk+E2gZGCa+yqqPoAHABkFRvWitkk1yosltHK+FM1
mOutvijhuWDzcRTAewkrF8FpFhGwKnI6A3bMYCkPI2wZw+PM7smVcDiZF0q5hvxwUsOvQTZybgnC
TTXgIgoDJ7PTmRsBKu+JV91IXlpwdWSvXlBzX8oy55Eg8wAus2eGIPj0g3WVw/gZdWMd1RyUgWZm
8za2lmzuflLDEyK+LCcUas5KByCvCpcoZt1SjiaDtQQGtlWRpaNLSVW3xbucxqVMB5O7s5xngd8g
VUZ7UxaNTlu0PEHcqftlVd4GdEONtImn4E6uFau+C0XDtORcmFQQhURPGE0uWqsjLVYNobH90ikX
PN+PMiwobdrZYyX6sk6IFnQqerVpFBozl/SdO++kE/3cLke3W3R4axQZNdHzdZLm0RVdYNkqHjU8
asLQqaD60SmuW/dEEb1jXXSRHdFP9sCFoOBNj5ldVkxd20CpR2aXiU40CnCLjNb0gFvw3OKcFD3r
jub1ILrYgRTeR7S1DfBsmp+gluRG+8QRfAdu+00x8Nkq2sLCqss6yGthXpHSFYgJjaCTjwPFY6U6
g2w+84aEvliUkVdi/IYe86SSqH1qAQLOdf7TllJg9Lpz1wkzGamgsw5DdxX5aI/nKL7LReNeUPo8
4TSvHPdEb/19PyBcRkkYLLdcR05BSwipanNSBjINkZBSyAgM3Cn8ZxmXf9fQdMpNn8fR38jA1+XH
OFr81Zs4Wtgm0Db5Bdf4FUcrew78FMfUhbwxdu6/4mjN2dMUgWEm+H5xY38DqiN6NmWZxqgiQnP1
n9TPVPu9BgnwZnQTUfAmKlVlA9cp4CRv62ctnTXog85wRvWnWiDOl84rXaYpEml4LR3hatMb4FcN
sAeGm+YnXdd8A+Wxb9gRkuVEK5PAl43jPuUSbEN6wU2lHwLMlqfxoFULValRdEHfd4m5YH6h6oge
oFeP2ufgGftVmN06owJj1pAfUsjOE8UfL5IAZX63y2Lk4Ck7aJ51NtIlm6ZZKygvVkRbvBsn6DFA
lwrgQqSJehFpUnzQJl0zS1xjLpe+sZSsvp/Q3K8OFGDPFDrM1JgGeXSpK/a6i4pveI0c5wlxZSmb
EmG81B96DtfQWDv5GT2ke1VVL52CUVwlOqH82MFFI9QWBGO3c05knanR1HjSe+2FHI3fkya/dsLi
KPCrexlvvzBPeNix406yw2PdEEDxzjgZc/txdJByH0A+TG21PRqsLJu6cQfwpUHwxTf7hYMDUAQy
G2xwBj4L20apOEEk4zYkup5YWu5isZqU884YfoyBeqoESI92MEsC36OJgZyAfV5ptjTsS40w+fF5
P1fu2mlRIn2hlPMyz9Az7xcyyG4VAkqjOAulHNejDd7bsNqjtAciYZWWDZqXYkPaVDntVcSlSxvx
VMejqtGp+k3exCeNRG+s0PN5y10+q4a1i+IsnOh6qrreahhSjH+8bGZFRjojMcsWilzHsNqxSi8H
c2KhmL3Mwxye5LiygZNMFG4KcJIZpUG9MgjUs4MWbksYZheNnMjEY+AN7RikXLEwYhqzvpbuN4p5
0XfeTZ2SMdVJdeSVRE6tBHbEhulCOGe4GOV4CHMMI3donAbzLEE6MBNSmkHhfM9dLLUTr5gWlXnk
djZC1lz3s9oIVuA7Pa6SbGX18J6qXgpmleSOS7dGRLerI2SfPZ2ardrIE1kZc7iHGMN7tffNci3W
FGz5pZokJzUBzbRJRTGsH6VJUFgAonT9KJa6C1Px71J0vSZpn9hzozKPE1Ndgg2jRuI5Z31aAR6R
iJYsn6qxB0waWXZUKTouKFRCzzIsgaEiYfnTRQ9N2NyEifYjH3D50CGxosa75pAiDfVoaXb2adsZ
8jy07RIp7bQ9dobqXMu1x1APIAbn/lIDXd+Fzmmvpt+CNA6niTHexUUNGoJK0MI2wnCReyAFaxdj
i6y4gHsQT8IwWocjjiGD6u6PDdekGksmHWswoY4XfMt8D9kRL4jnUh7dpF12o5Q+oJxWX5VyeJ8S
UfH1IxCcZ2SZqAycNJn9PSylI1wSDm0nkedyb8xNH0RNJpqsWTNt0ddFfl26q0k8rTA7zkry+c6i
Y028fVuPlNwiT3OWbY57b5U4ybJTWHhF5ehnapTZ9KmE4+XTbfDva9Gg2vL5tXjVoFy0/ngtir96
vRax4nZshegQLDeQRFEoer0WcSMy8BNC7dRxTPkt60cz98DaCByjIb8y8V/bSsaegKVDH8KuEElW
BJb+QVvp47XIG8MqknkGLm+Ajr9dizQS5AKYbnM6xhkxetDcQ2BAYS+CbyG38WwoY0FgDqZD5p4E
HIgzQ+mqaZm257j6HFiOi6waVJWJg6R3JQVHkN1OBguIeKYG32Q5emzBH2GW1YJYkLoEBI56ko2g
pFzZ9KZJlZ+lvXxDynCvVvqtU3g0SnyHcoAwCHOkcRHrkjQvOh+vNIzLLE/CAywPv6NddJ8P2XXr
g9rLao5s1zS/lxhSp316UzvSjZsOR75pwVYKTtrIP66z4L7KbBBVjnVeasZD7Hj2POGDTVBHMfdV
NUOSLrtLBrwd9FBDMKAGjVjE3ZJyyPWgIlWMx/hC10dUWUIN9eOOGkEk2Y+Fj7kaSpXHVR1fdaAn
p7ZnzI3IvswC55HNdx4YPeanSBXA9QnrudtB/clbsOnpAwfrnVuoZ1WWPoCUdabQsLx5k3YkMVZy
DvNpyT2LsYZ3H6t4ueSxjTq8GYnsIHvoFAeeIi6uyVBiZkGJHeONhEpQQcYAbey4rkCt6y7C1GCp
SdSAqXQLuewIAZylpxqXw9j+DPRwbSXllRZ4cM7H28QbcWwT/CS+JEcuDcpSFiV2GRyg2hfmBTWh
E9/pf9JpyWZ07tAkcuVpU4aY/crqje4Zl3o9uOj7RFe6p/5sVLM9GALx5wYQMV1rbhOpWVaZT5xk
mPSAcKahfhhSg4zvMuzhgcE2p9T0ZW4y7pVCAZAug4A3x2ghW/gcQNfZL2of26cobydNzreGyAom
L4YJvpbCQjHaCzOoqn23ArUCMOdQOF/MSloKXCXjpYW1QJfSfwIlMdVHV2AoKQ6Ss0N6GiuU1xtW
nAH/aGqPLOKh4jtM1Nybd+X4LfNK3jW1AXO0C1duvo22dhh0KCpYKsXGqnC9mRcjA9M20UOd9bc2
WGkigPyHrGQlWl3utOwIuTo5WAJDl6aZ5C/lVApnkhWlU1nOkNiX9xUZA/pKlpwl/clhorX2OgmL
Y0CR7SSvwnwOSvbA9IZhpjZtOgevcJ0VxqErtIVYjQktifpHRX11KpeKiTMHOkOAmtUjPY2oVsB5
8Q5i1fG1WRR1N6qNp828lCo/+M40uPWZWlteNzcDQ1uYbiKnVxbQuWym1/kIdqOMhfGBnVjn5I4B
mP4i8M+1ovfuME6ZVzFLaKL7unua42GDxJWoJfSQXr2lb1Gc8AsZpJtj9BdyLB0i4RTgjGxBGQA3
Fo8zaopVcYCVossNFvR1MIWaEyfEXRr6ajE6UGZf7BMCqrdRR03wJMZvi3Mm9pVZb1oPstc0ISXb
oUT1sANgjZ9mpBvFHECy5V3JtRVXd6rbeoA/tJFeIhg/072PjMDXT2S1TCTK032T/7sb89KN4fb4
/Lq8gz2+4bLkb14vS2T+uPDA8ysOdxFE8L8vSxWWgErmhv2eKYtM7u8c0t5zaN9gwaHYGhpO+huZ
P4yEgZPB57IB8amCc/uPLktBvHrXi6EYbOpUeiD4qQjl8BBvc8i6hA4aqyEmVzXXHsR7zN3Lq1pN
/GmocgSPSppdBcAt2DVJ8q0ShtsYvzTLZnSVqYLoEbkEvtyFrp1CQcNRK07QQrBC5LHgXNbC0Nsv
2h9O02HGLcy+gZH2547n5dMkwbrCadzsSscdvJRZ5zV+4W3gowXgFYiuCjNxxUPxq8FDZ+61WI1X
inKdCPPxOEauJHS0fYAOBxr+5F6BUXkvLMsBXARnsbAx5+7B384E5InDeTqqwXUhTM99YX9eCyN0
KcJRQWEKzhCbdRe9XDtLRCIoTHbImtZP0aaIO2MRgeL0gvcFQWlWkcLoeUjfqUmOGwLXiAC2E5Fs
TUjriNjWIMiVG30eWZ48Vwl/I8JgKovfmc2TTMTHsoiUMxEzp5F/bxBE9yY4XzLuG6+IbgQlf46F
KuQsQu9axOCaiMa1FH000/OWkYjUJZPMQMTufWoemiUN5xr8LYAFAvxahPq+28kTrKru+KJD+Gj5
t0xyT3XyA3sMlppLOVonc3DJIBBjaY+R8MBjtcZkoSDPQFaAQps7nhoZX2md9zNACeRZ2g8AHEAh
ogfJxWMp8/3DiCzGFOkMRULgmCLFkTr1AD8inA/wu0eNxjkDX0ximei0uszjTKRKmUiaDLKn3Bsv
dLIpSvkoEIgEC9k6LHFE0mXaRWSfaQMH4w8Z1NJwYBEEzLGNPULIcSSvRQJkFhtUQX3LWEsViPFG
QLmlYWGOLrVsJzQob8eHLcqTEwu3W+CGyrFm0WCPhQKIKyuojhl2sD8YEbRCEBbIuqmXpWG0dLlL
4NlehG4hlKzBDwY8ehEizEJnQUDIxR2NTHJQuQdIoqNUbER4kbDBp3gkLTUvv4zTFG3JQD/obaeC
T5zIV6nv4gGt60slS5F9MkIguo4JzcMFrqnLKWwcdz3AlAjgexxEhnFV1i7trbSeWpE2tSznlPw6
Puh0wwRNSe5qxeaBZJf6mVWDiOwhJk9zJTAXSPx8ayNRpqiNY1r/NPuRk5vKknFYQgU/VIbsqNBj
5aDIAr6lGk8A7bZS3DOp8xYwivsFYSFSVWUAoTEp96uBYi0F2ZldxD/82FjYWc5WZ5vkgvtHqnyf
QwbsBSswkix7FgumoC84g65gD1LN9A5TnZp4Y7unbQFaNHQoOgwOxrapqBuBIUDQsr8YFNLAAVm6
w2IY8T8UzEW5qHVoKZm+P3guvEbBcMyL9MgTnMdBsB/RShoPi1CR9nXBjcyoXpkSheoR2qQke7fw
BLRzNcR1iNMPpaQAIosP3VIiAPYE/9KEiFlYofezgprp+GzjCwu6JtYjEDfhSpOm/zvdfGbT/ZHa
fNf82IRleE9s5vrUCXxJD0Wl9c39qewBa5Qxl9OwsnqCEbyw6ajBmsgfUh/lLHhBPr4mm1yt4lJ1
+BGow3+IZdDkDTVYmNOmSG2xPoGA/f7+jOsSR8Ssl89q6qH0AI19k3LmkYrVJSh8JYedSwG1SbHo
7iNsOjN0DfGl0Q/LzEDaSpReWX3GcSnKsewICrOdud9SqY3tPj8pRwkUE7352n5Q2gheTtJBJUYD
cjS7A8e1F4GFgG5OjtNUtCFSR/R/O/26S8ulHvjpVeF5OLLn+YOJ31JGkbNUdFELRDjK9IqHeHCi
WVYB4i+6btnnfQ9NI/PTC1mDChfq0MQ0ymkIcc3rTnanSSfhYKIIr7a4gO9ar6zGe3ATu1twp8pz
b8iLAxSpkkmRSZeoRMbnTl0qgCAABOGXhvnqYFkzN4BQQpsPOQd3oNesU9N0tMcqMC98A4BgHQCO
9qPbQNWu6szJZ1KorvOIPr47etclWUHArm9Q1kLbU1m6hfPIOZzir+VjMol0nIwogqneJal3FI7O
lYLR+8QYBVNQla9yK1SBAeiHtU+ZM3aB9au1sRqaCrtfq7pFzgItW/ykELVBhkuXz2mtKbjVBheB
A31BSvDHOxwGGX+NNP8pl9z0pgADBkftkHkHWlhdNqZDjw589GQswcpbJtU1MANcjvHMgsk0KSSp
QVgOyA28ujquoqVN5WsepJV95qj5sB+ntjppzfBASQsHqcpyrRZU0Z3R8i4kwXsaA+PBgaF8Wgzq
zxjaMN0iE7404prOaezDqkYCiHJ8hO9dbeADkZJMHHpRdkbxmeQpts/Q4qWRbzoU5wd4axHAskqh
ZlCqp+g5pFAhxnJSBzo8mgZZY8XAt6uHA9Aqzb2Z+9+jCP3fsgFboPrpjHyDefOY3DgFnWFXsPeD
Adm67EfiudR4NfoLqXSh2PlP3R/mGB7vN0VvT9PILKdyXWoHZlwc5GZy2NcG9mPa2aBEZ2TW/dSJ
HTCdWXgjd+61kUjVki4Z7r6SdV3WHhalinrs5ioxhw2Jjh6wcEaXL5OhPpS5vIoovAwCb2428V0n
lz8QCsimSoTC4gBdxC6jZoZGL4GMnMLCYXINXToEXoKYuix0np0hggZhHcuF8mCrozar6uEm11Q0
ZBS8YCoyx6wecQjFjTNyRxlIpnzaxd0PXxT6TVHyT82goISU32r0YhwiYZPuQCjaBLgcPNRyt7BK
QbUTrQR44BlM9wZ7T9oMg2g4pIPxWNOB6ApEIhN6EoUL/SIQbQocnzFLrO5t+hcE1dcK/QwFq1me
j+CNTodDx6MUrQ8eeOaNbYcPYoSnFrl6M8qXlaPdD6JxgmZLPA1EM0WKBukgEw2WlE5LS8dFRwnG
pwNji1ZMnoBonOiiQeOKVs0omjaJpc9xmG5AdNHQSejshDJdJZueGLWOCkWBjAYQzidIW4mmkEp3
KER8jsejYYR8Nz1yD3Qy2pETl64SApgvjiL/D8q6L484W9WreQora7ho1uVwua6oLVSvKZz46XkG
l/Eq+7/90p8H+mv99M5XQ77+z/9YPSZBOguqugwe6rdJLCIZv7dOn57p6YH/NES84nM1j4ytWXvk
r5wbSEA9vagRxxlyO88/lhQKxfA/8X4jL356vQ2X/jQLf/6Az9P559/5/BOIGvfTBB08/ud/PKf/
MgDJd+n/vzITjPNmKhzE/B1EGdBZeXqJn76dCsoAcElJwPXnUsObhfLZUvjzB/zySdB/j+H++STY
rAfCLdCjm9eDmATdsamFPL/X7k2CsGLZbiWgOKw7T20J83nN81HfrwR5D8UyA3vb5/favUkQIsnb
TQL0IlATqqKKVpB4fdgO8h7BPhtmR1cCZsr/l9Px/Zlg7cF3sgE/a88rgfre+5WAAwjkLEso1jHf
u7cQRLFyy4Vg7VHGRBzFtJ/ngMzu/RwASAdhYylUDcWLK2Qnp0KkhFtOhb1H+ZXska3/9Pp9Krgt
0c+ywPg8X0e7tx5Ek3XrSUDF1HHQKNs8CVwR5Ac2PFymZydXgrp9sCDuSdEIf9kTCGC+3xSsBIRP
ELUUWm07OQniQN9yJQAiAHSn0/f4ZCXQUyG6VIDZ7egkCKrrlpNgCacnikoa0bh4/b4S2A6sBEVH
MGNXJ2H7M0Hds8CFGE8O9e8uBzAoCgBLKnkv07Ojc/CyQp+tiX/lNf9LJvU+VnD2+JL5/i0ykpd7
8N1UqBoJBpIu1EF3dBJeru5tJoGup+iSqkIX7f2nl7kaVdXBRvN1dnbzWNw6hyJ9sOgEW6q4JcXr
w4mgsxB0jaBxV6NGARXb8ljUwJ7JBv3q580glta79cDBoImyP+LRu7obnrfpdrvBQlaQlvfzQhAJ
ybtJUNkUAgOHFtxObwp963QSqx6CYm4C7bN0UkUDQ5Gx/tnVwoKQvdhyU4CtBDdpAC94WRC/rQeR
P9gQoGzhsLuTx6O29UoAYIrqoQgcXyKCD5uC8osM3ETZ0cKCgAltvRIInUEUKY5Y7e+PBLIn+o2W
9oL/3b0UUtk6j+YwEE1iXf/46XXCRWBTlFyed8iuboOt54DWt0PHm7vh5Sz4ECXIgrkEOFrb1bNA
2T5KIG8gZzBAkz+HCZwu73aDYuzhu8uBSUwpXruaQinbJ9Mci7LKoWC9JNO/H4uKKMg6JkSUXS2r
CO+QLS9IA0M/BEdZ+M/r4feokYDJZCVQUXg+gnfwdNz+gjSIjJ+qKi+x8++TQJQgKnCAbHY1kVS2
L7CZe3w8Suv6J1ECk4BemkNpaWcnYfuyCl80RyM1xJdunCg4/NaShI+j4Fm5q0GzwFltdyYQLOgU
3MFQPx8JorX1fhI4E/ixkMnb0WjhZYluk0nqezgEY//xuh04at9NArcDRvTUXoQXCK9dvSiN5wfb
YipE8MjRQLXxpTv7IXBSCZyIrenk7+p62P6iNPdozpIjWC9ghd/vCC5K2aQLA2xjVydh+yQKfqMF
eNQAWvr0+n1TUHqH9ci54DxP+O5FC4Iwst3xSJ/+ReXzpbDy4Xh8qs0DfBUl2Z2sKajbJ1NPTRg2
Aw7Nr8ff++ORbMtESw1Ho53OK4XTyJbrwdxDSVbgdz5bD6CxDZNS3O5iFraOGdgUKrq3SIJ8kleK
phwhg8yC2dFNYWy/EkArIDwiPuVvwQJcN35gAYLf1RvyJbPZIkygvqKiII5C4csN+eFcVMiiwPLp
zq7GzoJDseVhoFFfob2A6+fmG5IuDMLSMhoAO7sStg8T7D1wGGIaXjCum1aCEDRAqHWnLwdt+yKT
TRcGCBPlledP+iF2FtBH8R/1B/Ha1VWhbV9goNIMmhdgwktu/fuqYGuonJ2snF29IbZfDhRZNFkh
Zvoc/a06QvZd0KF3MnbUto8VLJoRwq0NtNbr9n8XOxIroNulGPYLWGj3sght+yyCVIpEShcKZU+v
33cDIYPqUI1znOfrdFcPBn37XEIXX7dIGj9v0mIbo+kUGF7Xy05ujRe82TYxFBgNSkpUH1+2xocE
W9kTpwNB1HO0untbQ/+KQ5IqAzpFysvX/WESoEQA9eQQ3dVAUqiHbxlI0q+GwUtb9jku2FSE5Yds
G6gh4rWz58PWaZWAd2ncBhCWP70vTEDiBvW3Hb00P7jW/HOekEXNHcsUw/ysM0F2hXq9MLLe0Ukw
to8cBOJToTkNyvvpxVnzPnIA/0xrxqbYsquT8Pxg290RuNM66H18EkNSiebcUBQsbHd0Ej4I0P7z
7cBK0BAqpd70fCZ8uCMougli3e4WGz64WfzjSaAxA0zDpE/1SeAkim6ETRACnoPMXb0jjO2vSxC+
XIaa/BlHRtBDHCoO5guo8F8KnP6FX/pFUJ76Qfz4RE1GvX8Tg/mzX3ilrH78+RvO7RPz+N1vCqry
85v/TV3+r3fMZfWJHffmp69suad3evn7l4/48c3fvdnr53r9x2WwLlflA0IET6zglwc9XSUwnP87
5n+Pq98Zw6Ie9vpvG2jWb6PGP4+OWPn6daA3dGTSkL8/6m8c7n958GT1mJWvA70ZnI2z9eAToav9
Os6bsXm4rceeruJVy1dSvY71Znwuge3Hx5Kx+vCVEniycb9g8LQuV39Ns6re9BbEj1u/xWwd/3Wa
lRvnn6hk6/Hn8V+zrGTxvI71Zv4pFWw9/qLEEWTT4Fx7Ww++H6/T9HWcNw/+Fdt12SQ/svix/ji8
ALVu/egHSb4ug1X8OtTfTy+gktsPj8vy6zBvhv6KHXu0LjfMuaC3b/3UR0HqbTgIBERs67GPV9GG
M0yA579g6Kpab5qTr9igx1n113+n3jpeb5qZr9iiJ6tHDuDXeXizWr5ii56symDT1HzFFhVj59mm
013ABLb+Wk/W6WP2EGw6vQQF8AvGLx/Wj68D/T3vguq1/eAZz/46zpuxv2KbnmQb5+QrdilDY+Gx
HjY8+Vfs1NNVvmGhC2rB1hN+um5XH2NHA0e+Lxj8rFxxBLwO9Obr/Ioteh6vHjbZpgjc9NbTch43
yabgTvuKHXoZEDpWweOGmRG0xK0f/tvqoSQlSOsNd6nosH7BG6R/TdYIam96g6/Yqt9W4g3KdFU+
bjzIRHP0Sz7FLFh7mz7EV+xa8SEW7ICHoHrY9B5fsX3Fexxmq6LZdFuJptmXzNJxE1R/nf0IqnzT
5/iKzSw+x8mqXm8a/yv2M+PXq78mq/LHalPMIHpqXzFTvMcU14oNh7VoVX3VO5TN+DrY32eqaANt
/wb+amNOKNix2w9ODWPj1HzJZg6qKBiy5vU530zMl+zlLF5tih4EgXP7iSEw2WSkK6Cz2w9erxB7
jldN9TrYm6n5kq37J/uyz0T+WKy/2nV/qj790WN468GJ8VE//DgvAsK/9cT/0b9m60dvKBAlm+py
Asey9bN/Z4Rm014VheOtR/+DVcG28/IHFec/D72pLPtL7exjsfZV2HDTn72vRYvfeIjXq/K//gcA
AP//</cx:binary>
              </cx:geoCache>
            </cx:geography>
          </cx:layoutPr>
          <cx:valueColors>
            <cx:minColor>
              <a:schemeClr val="accent4">
                <a:lumMod val="40000"/>
                <a:lumOff val="60000"/>
              </a:schemeClr>
            </cx:minColor>
            <cx:maxColor>
              <a:schemeClr val="accent4"/>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48C0-4418-836B-1ABBC109343C}">
          <cx:tx>
            <cx:txData>
              <cx:f>_xlchart.v5.2</cx:f>
              <cx:v>Sum of amount</cx:v>
            </cx:txData>
          </cx:tx>
          <cx:spPr>
            <a:ln>
              <a:solidFill>
                <a:schemeClr val="tx1">
                  <a:lumMod val="95000"/>
                  <a:lumOff val="5000"/>
                </a:schemeClr>
              </a:solidFill>
            </a:ln>
          </cx:spPr>
          <cx:dataId val="0"/>
          <cx:layoutPr>
            <cx:geography cultureLanguage="en-US" cultureRegion="GB" attribution="Powered by Bing">
              <cx:geoCache provider="{E9337A44-BEBE-4D9F-B70C-5C5E7DAFC167}">
                <cx:binary>7H1pc9u4svZfSeXzSw+xEABv3TlVA1KL9zXbfGEptkKCG7hvv/627CQnouQ5dFX04VUdzVTN2FLT
TT5CL083Gv/72P3PY7xeFe+6JE7L/3ns/nwfVFX2P3/8UT4G62RVniTqsdCl/ladPOrkD/3tm3pc
//FUrFqV+n9gE9E/HoNVUa279//6X7iav9YX+nFVKZ3e1uuiv1uXdVyV//De3rferZ4SlbqqrAr1
WKE/3zurWH3TRapW77ffw3++v9SpfufoOq369+/WaaWq/qHP1n++37oIfv/uj/Hf2tHrXQyqV/UT
CBNxgi2LCybslxd//y7Wqf/9bQMh+wRjIWxu2j/+7NUqAcmp+jxrs3p6KtZlCTf1/N+R9NYdwFP4
6z/c/ePmKWyeug8A/Pn+Q6qq9dO7+2pVrcv371Spnx9T0Tt6c4sf7p+fyR/buP3rf0e/gKc0+s0v
0I4f6X96axu9/4Dssk6+6vip+v3oUvMEoEWUYjaCFdMTxBAxBf4O/Da4b1FpP8A7V5gA8o7MkQH9
V7J60sXvhxkWMaGcmVjQMczwBeAY28S0zc0LbcM8XaH9II/kJ0A8kjgygC9Xhcp0uToAxPyECoq5
JfAzkBskx3baZpQLDIb6+bWN9Fs024/1zhUmoL0jc2R4/xWDK3w6DNzCpGCcGdnvljE+wRzDogeH
/xIMvHjlN2i0H+bxBSagPBY5MpDv66paH8Jq2yeIYIwRRi8Yi9GSxuiEYQu8tw3e+1eQp2u0H+OR
/ASIRxJHhvBfcabS9QGMtjhhNrEYsuh+hCG45vCCABwc968IT9doP8Ij+QkIjySODOFZ/M7VBURf
BwGZY5tZ+LultiFP2vLMGGIw20ZUWGxfDPYm1fajvXuJCYDvCh0Z5nJjtw+At31iIUyo+dqiBrNt
WZQhsOvbi3qyQvtR3hafgPC2wJGh667jd1caKJnfjzBFJ9yikDeh77nxmBOB5BmblEDwNYq+3qTU
fpR3LzEB6V2hI0MbuJ1UlfGqLn8/3ISfMGpy8NPkJbUCULcNODoxTUwJ4RCh/eql36bVfrz3XGMC
4HukjgxxoEJXzbpYHQJwcYJsBnE3568Abp4wYdpg5EeB95uU2o/37iUmwL0rdGRo36syUr2uf//q
3hhzgoA2+ZFJ74Rn+ITB2rdMRkar+w067cd6564mQL0jc2RIOzquD0KQQZ1is2Qh2XplUWOw4oIw
m1rbOE/XaD/KI/kJGI8kjgzh+9VjAbRYWh0m2bI45NQUzPPzayc0QyfU3vwDAfrmNQrB36bbfrz3
XGMC5nukjgz3y9UT+Ovfb8EJOwFvTSwgv19W9pj6hgQbjDfQ42hcopys0X6kR3c0AeWRxJEh7Ggo
u24QLqtD4CxOzE3GBXH2frYMOG8EMFscjeLwt+q1H+29V5mA+V65I0N+DtX7g7QfsE10xiwL+gxe
XqPca8OQCgv+QSOvPV2j/WiP5CfgPJI4MoQX8TpND2C8gS3DpoXs3Q4EWM22QJB3j0iUyZrsB3Zb
fAKu2wJHBuvDOlglBzDW0FmCOGOm9aN4tSetgvwZAQ/6UrAeBWLT9dqP8kh+AswjiSPD+TTJ1oVa
xQdYwRjKF1hYlKCX8AvS5C16DFknkD6DCYcOlM1rhPRbNNuP9c4VJqC9I3NseKf9IdIrdiJMDAab
fy9Yjlc12lBnNmNCjEKw04n6vILwr9JT0P3180eG7Pm6OIQftk4Ify5avSzSff1Dm+gbOhIgpf6V
5J6qz35kt6QnILv1+WNDFpqJD0FnsxMADZqBqPVqDM3gPahHjqGdqtAr2G6JTwF3S+DI0P0Ii6Y+
CP8B1UYBzKX5Wl68adG2wTszc2SU36DSfoTHF5iA8VjkyFC+WEUHqDgT+wTqyQhaN18rQeITG1mI
CT6qSE3VZz++W9ITwN36/NEhW5brA3heyJQoNIAJ+3vjrjmOn4G+ZPA2FWxkni9WUzV6Dd0t+Un4
bkkcGcL3q3TDWxb1cIAsCUhqDumuidir5CX05wvT3GnmfJNW+5Hec2cT0N4jdWSIX+jy3V+pv47X
h4i76AnQH5iIH3EXeN/txBj2VkHXCOVg2Pckxm9Ubj/y+y4yAfp9YkeG/WbvwQHMOXQLwUK3oBb1
vd9zjDpUKSyCwJjbo2hsskL7kd4Wn4DxtsCRoXsPuyEPwWvCVipKbGZz2Efz/Nrx1kCHIYtRKDdu
58nTNdqP70h+AsAjiSND+HKdPulHdZCqE+y82BBcnH+nNHcqygSaSTgjxB6FZG9Saj/Ou5eYAPWu
0JGh/QDGGnY0//7AbLMFFugRMNjfAzNAdMtLg722oZkbQefQ9oJ+g0r7kR5fYALOY5EjQ/lyXTzC
Tm3nt+9i5yfEZDb7uY19xylDEiaQDZHY3rag6XrtR3okPwHokcSx4azBdP9+mKGXk9qmDVTm97W8
s6vdPLEoho0ZaNTLeTlVoVfw3RKfAu+WwJGhex+sDtIABKYaNsIxIshrfdn4hAhkCmjm3TbV0zXa
j+9IfgLAI4kjQ/hqlR2gZ2AzawQCawqFiFdjaxhHAc5YjFpCpuqzH90t6QnYbn3+yJCFqS2wmXl9
gEAL2jQZZ5wT87XMCbYzQ+LEyHjP+lt02o/wzhUmoLwjc2RIv7B7clV8XR2oKkWxuaE5Xu/cY7aA
FiBouX9+jUz2M+35BvX2I7//LifAv1/wyL4DV+tmdZDxFFBxZJhDTfJ7S/YOSwJb5hDstNgZXTBd
o/14j+QnAD2SODKEr4sV8Nu/P9QmBLq+YM+6YK+NLuAnwoKxQmzc7zVdo/0Ij+QnIDySODKEb+LV
40HGj4gTmOq2wfhlNNRuXRLWMN90/eEX+z3aXDFdr/04j+Qn4DySODqca5hEeICVbJ/YhHGYT/Hd
Ue8QYCYQYAKyajJqsb+Jp2r0GsJb8pMQ3pI4MoTvFGxoLtXTYcy1LUyLkO/dfbvtfcCQwXZnaAEb
LeM3KbUf591LTIB6V+jI0P5Sfz1EDr0pXSBotoaBnM+vPcMKLOgSEpBnbQfcU/XZj/GW9AR4tz5/
ZMhC6vDOVWv/EA3Yz9VFbkHD/ahMgTgM7AT2S5DvXZ7b6L5Jp/0Q715iAs67QkcItlxDbeoQaEO7
vQUT3mBz688Qa7s2BYS3iU2Y4DomPOErOF2r1/EeXWMi4COpo0S8SFfF02GqzzB6F9p5YSV/b/Yc
J8+w1DGwoBCc765xCbsDpiv2T8DvXGcy+DuSR/gFmENe/ajKR/0Dgt8xa5vDXlbT5LB55pXljk+A
U4NhJWQP8j81mpIivA787mUm4r4reISwn+lVXh+qbQx6ECgGgJ9f40UPU+OwDXs4bPuFUhs1I2z8
7BuUex3/8UUmoj8WO0LsL2pVvrv+qsrsEK7egk0cmAEnChZg89ppOYIucEjeYGrgnrX/RtVeR3/f
hSZ+A/aJHuG34BIOETgE/s/zuzkHkuXF9u+wMDDQGQtoS6N7Vv5kpV5HfvsSEzHfFjo+tDfbAeLD
lMeAb4HOb9jP893Xj/M5sPcQByAokYxYN7D0b1HrVcR3LjIN8x2xY0NdrYuD1ENh0AUzCYxsf+kw
26XTzRN4EyqmYr+Dn6zXK4hvy08Be1vi2HDW8eogvcObA3OgaLJpdNjvyGHOHLUB5J2cfbJGryC8
LT8F4W2JI0P4oQbTfQguHfZTE3MztuR7YWwcqj3vt90Yb2tEsU7XaD/CI/kJCI8kjg5hGBaZHGQy
P+ziEUCyQL71yio2odUQIyTwDsbTdXoN5dEVJuE8kjkypL/o+BBBN5y/wGGUCXQUjth0iL7gDY7g
DKwfBM/L+SlTFdkP7Zb0BFi3Pv//AaT/rOLWDW/OPPvrx7PdQ5699Zw64ERhqD6DbrP9CxaMMkOw
awuqYy8J1o+//YIrTFD+ebLey3STfTrtR/VX2a17fLnFf34ohzmN7vWT6n4e9ueuqtXs+ZjAXw6r
++d3n28fzjYciX4fB7Pngf1s0z19+vM9NPUSCG1hW9zPEwg3F9oaJvMy+fYHNNtSa+gq//O9Ad3B
0HpkmTDqEaaaEEogc2rX39+C8hhEVgKOwbLAdG/G76dwBkAA5xjasMuewluwy8N6Jlnfvyt1/fyW
ONnMBYbxNzZclHGYEvrjRm903Ps6/flUvv/8Lq2TG63SqvzzPZyy9P5d9vK5jb6WaUEdHcGwUQ7u
A+K8Ta9y9ri628w2gYfw/7rW8yODefQ6GjLenw5MJ+RrE5DKu8bMIUlyaYQGXgqPx45RB/c99amM
GM3cFNemRB5Tso3zaFbbFXVLKzGXZhuFruhI4dSNXqF+8J3aUqshLzs3IUHpFiU7jxM/d3IvvAlz
+2Pme9UsS0oqG1GqmegHc6lsVrpRjTxps6iRrZE0s6CoYjdg1XmdZrZEXH1qELtVJF2wOCkc3blp
MyxUXrWyMRNTRqG+Hfz2o2b6tKSlJVWsmYMrw3fsvPSkKoaVHRa3jOUmHOeHmbRjfIPNKr6s6aDn
IrJSF3uxhlMv82/E81d1WFdOYvBZ1a/bDltub+WzxiC+GyfpZYfppyz1M1mKNlvSMk2cgrSZE2Uo
kEQbQg7CLhzUdOdkUOEMF8O6Ft681s05stsF4t0cCL1FScpZUWgXh6hxqjiLnKIh68rGTtR6g7RN
iQdykfbDcrBaLmvfK2TAK6dJ1IOo49SN42yZRP6s0+FDbBtuVaW3WWGeB0bteInyncJKbhuAtE5o
MDM7VaSLykBiLlh2hqzka1oGsaO4d2E29kXaqNShsZeyM0FwcYs6M/P+DovYx7OSaD+9NYaqzxYJ
Snvpm5H5uR9CW0vWRI/YIvMuKFqpcP1ol8Ecjp/xnVbA26pu1zlFpROWnS2TpltWfXBFU0/MjLbr
53kVfGsNVshQ9F+YaT9UQ3eLGvQ3KbIzUw9fVBPaDrNKMuM+fVK4O2tNv/87DvJIqirjDiWpI5qi
kZaZL0OruPXseMkLYVzUPH/oFdxWFte59H1x7XWlckQwfKOW5dZBFUkrYvasYr25HPg3FGo6U6j6
2FRx4CYZxW4s8FXk22RhGeqs8IZFlyHLLZKmcAwdPPpRPjhx3Q9z0YaZE/b+AhvlF9XqpYZl46Qi
7aToA5nxcphVfppJxKLTrqWeIwrjpveMz0VlnrGMIDfE4QfLC/yZgIMAZOn1Elazi0WxjHnEHVbp
s9QqWxkkmVPnwpIBi76VQXWdJXTVlN4Fi4dQRn14BUfynWckaCTT9nnaxlxiQhonpFwWgQpkWDXt
Iu8ST1YBQRLbkJlG4svA9SyJrVOz9L+QiGT3g8ECaQSikzG2PnAjuO+wIU27/ZwHVJ1mgX06dPm5
54vs3NPlZ9Z5CyT4vcHYaUDEtWGXt4HJ1hkdrpKkWEYavpsD6wc3Q2ntNti/axq9iEy99Gu1KMLA
nkWdnUpYPezvsilPAxzWd55oAqnSeJ507Tmrymj26/mpWybzUWd9ofzg+9G3P3/814NO4N/nA1X/
/cvNybn//mmx1hvXXI4/tHFtPz/170NZN67k5wmtIwf1cvzuD6P+ljff5No26d7rru2hfgnRd53b
c5r43blBmAJnT8A2RDh/AlzHhiX66dygAgCTAyBixRTW5sbv/XBum03phAhISpkNH8EQzv5wbnB4
CfyCA8u42RQH0zjf4txgbOOWc9tQU0BfwRYNKENQcL02hMe/OjfUWEVi6CS5HqzgjCAkaaMt2UWp
O6ShnjewwUOGXnxJsziaW4QuzRotVFZdB7Vxmsaha7f4NkWGUxN01pbZKqrpF6+MnSitLrsBXfg2
XQ4BmKjI0L0TcP9L2ce3jedFM5YkK9tkzKFBn0svrjNnQG18nvQxlnEUlFIkVfpJk+C8rrW4SEly
I4IolrYG+z5wwyns6CszrDnx0E3Q6eussEKZ2eHnFjVM6pRdCyuvXVxHXEaoVdc1009M61BaXVA5
Q8CZo5oInVq9uKgqfkq85IH03bqnw2VJ7a+xVz60faPdMPYXmtXnzBqI1A27tjQ/i6vYl3ZgfSCG
4Q66+rsN2LzcWNMCGblsbXFD7QIcub4O2+gqbMN5ZiAPfH2rnJDHhkSF8clOikzqIXNNK7wIiqGT
Q9afEzuqTlMrzmUSDWgeMDuZG6H9d8eTG6upL2gt9FWW35qazJNIzXqOrqHPaF6T7q5HjezCUElS
oBVBgaNi43NDvU9wLs6c1XUt7aa1liROvqq+/pAZJnGToY4k6sKrvoFHl0f1rdl5nVtGLPmY01PW
l6KSlfC1JDlvrnxTzL3Wy2Risdbp6+Y+6MMZ/L+aK1bGbpWnH2tQw8uHwYmU0Una6oWlTHg2Ajna
7M/zBnAIQ4PL0BSxq3thyr4nd0ro87b1nmiehVIx9kA1uzMwJ45RsQs70Z6sLR44QZbHEJ8Ed4bl
nVphRS8sXQWyy8MH4aWPwlRu6iW3SRA9hWnx0bfNWsL5i63jw00tMw+1jm14Qnq68x04VHdOaNVJ
8OhOrFU0z1TtDnaytIZoYdJmGWESz9K662e4rNfCsjKXsrxxTJ591jqZ2SiLLwILnnYeg5/09dDK
tEOlJGXRSUNwJIeuB5eP7Oxy6IsP+RDdeVktHGqGhdTKQFJ1QrhJndYyLvS5qbv4AiXRvBblZ8X4
BdQW7tJGK4crO3EMNAyLJA1rmXpFO7f7FL6ZBP+dpfm9aAB4q/Uh+BquzNp78hoDuaSx7uxM3NWt
t2xJWkBs6p3yCIIuC770EqjseTeI2ClQSiX2o1JmLcQlYV40jjH0K58MpWOVEBvG8ERlZRRnVWO4
ZsRmqOfgnONEXcMOgoUacDLrozsjlCjwIGb1h5UR9auqYQ9+1zxEMXLrTtxEGEdO6w/UaTEJJVHG
x14YqaxiPguGah70DTtTKm9lhioLYG98mRr9CnDtzyBaneksg1gbSB0XG3SNu/IyNo3LzqzSmRJ9
OjP7YaUHteyzynI0S3qAS2WybzmXfaFrifP2PuGtdvKyQgsP+7YDuQXo00CM2NbwDYTff8Nx18ve
ij0ZUcWliI27vDbXZQJfCcoSdaY5/5AV+VUZQ9iAEV1nmXnNjXZehh2TBo7pLG05njMUzgNzKC48
ZC66lALa8MTP8xRuOkrh21RX6ReaxHquDbDBvhK20zQFlZDXLD3KOgiM+lXOlF7YYBpppOY5qQ0n
COjlUAXXZUwSaXFTuL0i922YtNKn+iYvzUVY0IdsAFup0T3yc+zoQRTS1Hzl+9lZxoIzDDfntspk
EAzWHww2IMcLVT6LwyaUhQVf6qj0vjRs+FJU+V1QUn/px8YyC1E9S8DASVrV95lAiVtEgC8xtCtI
0Tot91LpJ8VXiIfBVGSODuxrMHQLPw8SiWn50HvtxwhXn4pcEDeO6k/UhvwG4Ra5cFJXcD6UYeMq
EVhOH8SJ1H7eyxiR06IM71NGFkNWa9eL0Jc26kzIUMK5FduhI+wIS5JBzlLgjw27bcuzwfvcqnMa
kNs0zCUc4fgxNJIPiiQATVotWKqvMJz4DEEvKpdmyNYIDP0MdfZNoxgsbWp4S8PqY8nZoGYxV7VU
lLrabi/KLL5rbLzkXQzmV/WzoUf3qcXOA90PUvn1J171oTTz6iyvrhrWy8qqlfS5f0N7otxY22qB
8yJ0rEJ9gqRwEcdFeJEaYP4Ho7i0e27Mm76O5qTqQjkgQmSZCUDLS2Zt5p9ZtjCckkGELpH27Vz2
NcFL2um1UElw2aaVpJkPFpt/CnXSLopKcSWrfOivUGAqJygBZ94PbOmLaqaUB+kiKs+8arCvESn0
tTkYw9IrK3ra8OAqLgIhVjXt+8XQdRjssYBEr2Hh3M79eWKhS5xZp2CNzpgHXx047VoWlTG4RkHJ
R8UzsBBN7ktaGssgp1eUlv4yDcw16c211/tfweWEsg+6ZW8abiK4iyMTbh10LAnSbtTFj52KUmn5
wQKbIZaVR8A8+Oxz0CXNokdVOGvzYJajUkuMhzlrDMhfODv34WFnXyFxQNS7izy+NIwWX6mCX5Os
8xxVJ8iJYvMDPH7w4iheZ114BuE2n2d5dwu5+SIUZelahKfztDMjpy/MzFVw6qxEefs5rbrC6eJ7
i/Yui60PiZ3f9HlYSTZEpy1l80LFNw2sE1nqbo6q7IFr+gjG9aay29SJA/gKKJbfIaOYg4FDi5YW
4LJReZUGWEk+oGXKKiztMLnmdtHLyAvqmbKjflZ0FXwfWn/DAQyBLFg5S7oYEihGS6k0Xg0lTmXc
tguuQjDOgl0BI/+5KLKLjsfc0YkxQ6pzrFZ8Adcyb1p8V+TNOazcJcfMlHkbfMiGEpI1FV+2CFxt
hC6UV50DBfDJytDn1ovAR6T8U4m7S93xxmmVbcjQQJm0Lf9j0pupg4z4dICMkBaXne/PsxZHbq3E
bWBl4KMN9qHOmsuhC6SZqq8xtc7yCMUAe3/RdKJe9kVfzdKOXSZIpA5LwBAawcK0FHNzi0KehC9a
czivC0Ic3xoKhw3sU9gmyQ3xzMH1K2FIoy2w2wR0kE1tZ05LMZFWkvZOVnI6E0OxLCnWbmGGX3kL
MYzo6huelWRhF5Bz+XZZXiR50Ts5ac/jkAswSt4iij1jYSdtCDGnV8HismIx0AdWGWdM8WTBAn1q
Q7SVyTgjIZNDYwM59N907Jlp3DRJvp6ObRrmnttXdvOx5+7KH2QjVGuhC4MxxqEzizK45s98DAa5
QQUIW9DFAQPfNqnaj3wMGjlNAUkX7Gc3YVqBBVL/zseQyaF4CAOFICODcZBvyceAOx1RjTA2FMZd
wNlHJhCRm6axX7Oxsm7rPGF9e23qm8Knsz7k7i8PZQ+dCZr+8hc2+R4wonD4HYSKQCPBmNLtv8Ba
HpGa1/V1ScMzxT8a5rVt3ZZ0ibybtrkq0Qs5ADk78MZ7/h6cAfEf/uJGo1/oU9yJQg0orq/DrDaA
zfErW/alxhs3rsvbttDirKms7IpFlidLNmdhn89yr/OsWZVUfBb6Kfu7g2bKU7YhZfo8oy6YdCKJ
CCDkjz+mAqJI4O6eGiP6ZnfG53QAuhdhKsGuQorhwzJN+9iSBAdiVsRGIhNf+UsasQUko2oO53WT
uZ9BUOX1XeqoToEfLGoi08EspIfVvdEKJ6vVnWiac8jYteSquTByD1CCNCvxRAaWsXLBj8uetbee
F7fSM8hSa3QDVLHEgp2mJnj7KPTPtY0kREcfCgP5skn/bgZy0/Fg2fChnKGqXKiKLmgmzgJldUBT
6XZuZEW58IL+Utd8uOeVaRcQkfVleq/zgC1ZDgYZpfkyZ4FR3Q4Z5E5AXBaQEsc+vahMxK/SZLCA
cK0GSDBI/jUyxQVj7aVBk4uMq9Muai8L27syzOgKQoBPKLYhDTQMW8IBTvMCq0dg459iQ1uz1qKX
XUbPPAi7myi7qLx2Vtf9KQQxN+aQO6mXu6rrL9q+u6gFkLTVkJhgiNvzsjE/5TWeUaohDkmHD1bc
+RKC+ehK1elNGlWLWrRX0RABewk5e5eBy4kqyEHyTqSybCJT0j6elSH/kFc98J6G6c9xktWndd1W
i9jD5a1QeX8R99qalwJD8v1kG+01DcRdWRcI8pG4kkFQzFGWnHmxuqlT475t0nlgACyQcc2EsiVP
qice1BBIsfAW++3MrpNaBh1y4eAbl4b9bVXrAMKvxmEtXbRFMzep51ZMyASZrtb6fkjpTeLludN2
ZQMZTdTcdX1wxzx0WrS1KzLxmUap03GreMhMg4BHLb6lpIFvk70gbSqHwYslNamDomZttv55WoN/
owjiQ26f4iSE4gNRM2a0kMf5N4FqLqkVLnMrWXSmBbFp6tSdd16WellYjSyHyoXc7QqqaS5ujVMw
FLe98CvpKROSVOrNc5t8pEXpYFghTh6lkL9acb+MWis+LeIUMmK/lqQ3zqJyeCizNpB9XEHYpO/D
xnTDsIGvtQd8cy3wyq7DFXjFS53HIXARLaR5JUQqXtkmjuU1Yvlfp/dSXjN/se875bW/IKRM17se
zwSpH+U1YCChDZ1As/FmgMOYgTQ5hqNcrE0RdcMl/vR4UEMDBhLmPRALOl/Ypij2w+MJOH4ABpMD
mQQTUaEIh97i8YAE3fIP4IkExnDgDGHQX0Mx2gyL+dU/+AVvw5CI+NpA+RdfQWFqqOOvqLdOY5Sk
MmSDUxb1jFuJNBs+H4h/Yff5VSsSsBxtkp8mKk+gwANsIK/x3LfMOXBi961q8ExwXTuN31+Ylecy
Q2dyU59QAmdOjDZsTR47jQEVgqhcJQxMUY3oE9h7yP+MxAeT1Z13onmCGlvuiMjsXZOQGesbS6I+
HWZmbcRQzbA6KDNA0YvXdu3Q3mROpdN+nur+BvdQKsF+fF53FrgGv/pMugpYtbR/0iY7g12fmZt3
UNfwmzICrwQxaDAAocPtm8FGnxpv8KG2oyKwWLDMY17BjyxUzuBnWCaJ70nunRK/mvccaLE8L5XE
bfdxCPzLiqfnmZedB3BPUveqkAnGd62K3Mb3k1mU4ksP4QcP1vC8gSRAwjGcYKfKppLZhhICuniZ
kF454Nw+CaswHGb2fu07VpMr/77CYfa3mbcf+4G255UorzMCrisGAndDGP3d+c2pSqNFkrVM0trS
QAAC+1UTD8vAE5eBjz+SvCSyVu21AWOEZlFUDy62Bn822EpIv7CNhaHrO2IET0C96EUb+Q6qo+hc
s1XVrTK7n9OMrcqe6EVdmAs4iNafFVmb6I82CtL72IS64Fr5w1PbBXcDMasZrzMNVPBz5lqg8MqD
7/cpsEXmsquwvsaFZ1/TxCvPettzqF1vWBu2rIpN3v6cIlO7vyLhAKG92qTQMeTSbdq6fJNgE8i0
86HBS/M5+y6eM/H/2rlnO4f+0c5BZfmrjp+qXUu3kfth6TCB3ZPQkwul/5eyyS+xPd0M5YcGPhjj
vKnkQzf+99h+M2OQQUi/OXADtmr9WmuB+XSwQQNTmCH5I+z/UXP6Hvn+UyPBdqUF2kOBhYSqzabl
HxoZoG1h285Vdd/mXFvtTW2e+SEUO+90ufjF+O8JtmH6/JYxhbuARIRDO+pm/sPGoEIO86sxBcaA
hGFUZjektUNw69QqIzAeBKfkJjCLvHFzzbrodtCKiasgCPjnwuc4uoVhA1CdMZMOn2GWOWWnT/Og
g8w+njEIMgaFelkPxOn7+MazDCCrjNO+tJdGru8rE1ilPkCzIed3nSqXXg8WOUi6OWyzRa5F8zMj
g0Uuoq9xH60Mz3PrLDsN4/Bz34TIGVRw7VflTOD4lAdlLlFXfCtqvshi1bpxTjk0LNDaMRIgASqr
XeYN1PtrHn7gYpmT0oHb++wz89S0UyCRUXYGJnUdl3YgvY7KrE/WXmZqqCZlldRmJ2ReFnMoa19A
jt66Ii2ILICCgDKz+bUr0zNCjcRFNH1okA9RLv5QdEEssao+RUlfOkHfPpaMnvW0SOd5mF2mQde6
ds6JaynPcjxd3MP420JyqquZ35PLxE8LpyrJbdxCaX9o6s9GSOZDy7sZpIKJFLj6FnJwRkJhyC1y
fZNqes7bgs4glFdQDMvDJTPBQWUV8Z0urIHfzjAw7o0A2jUbPqFEnxKAU+rauLNaoJMTHD+0iQ2s
i4i+GDlwyLjNTm1gxa7iqkVOYERnpQFkuIlyCkyQf+FXjwRqfnYNRbGkxQ7t8tKx4/STNzT/x96Z
NcmNY8n6F3GM4M7H4RKREbmvkuoFlpJSABeQxEKA5K+/TqmrOqWarra6y8Ncm4cua7OqzGAGQZwD
988Po5LKbKhGRs4qm1VlbHrc0vjL1CyucKu6nNPoS6YFr7K2+ZYJ6D4syrZKmvyJyeRb1LjSl81b
I2HAEN1e8EDxiixZOTJxZwP9mbStX6rIeEXYDae+6UQVWXNoMsiuc9jaEmcXV0een0Nemu/m3Hu2
bNal1xu45VzVJOKPbDGyGlM24xAS1n2kVG1ZWm8j7l+etY8BfPzO4hS55PZD529J0azJtxa+Wky6
seCwIQ7h0tHCo7y7HkSvShzwphL7yjNb5eMQxdOZd+Et69O04iNH770sv9m2x+pxcq4zh+8jTbdP
XUKfEuu3hW2Ht4i45GCV/9yx/lk3Q1AsXtagEJtrkXrfjJd98rI1KpKOl3h/qpbVQsd8q1PARkFt
wrU7TQFWfw0lUFIo7rbM0R/Ip5i5raBJh1We991zhyH2p3hb2rskdE9SBhfeNr0JPZyabuqLfpy+
EiOlwfGV1bPJmkPngAqppv0QRabqE9pDQH4Z8no5rjD0rsTeMnneg5rbXBSu7WVTUYEjnXXZpZcu
EMjyaSx1H8fFhvXLwum4jOE1vBlRpgoFPEUvhWezCPl0o8f0I8/it8ZfZAEESxYRtG3RT6XlcDyz
6NVb5ktnmrOI509sxuEde86DGkjdTuRhhOLviPewrimaOfYSdMknncXVSPzL3EFFT7O7FXV40+YA
N7Ok+fp1tl4P8KetOm26WlCv7GRQpFoZ9FXxQU32JgW3oSRs5XDbKhy5XTHmy4R/7eEI792uRr0I
iKs1zpbA1vghkMsHT7/FM1aiTVLYhm0qSgpQRBQ5dSBm2nn1vNq3a/qSMrscpVRB2TJo5HE2memm
C8OPYoy8x2WTdWoH5sNQw75VdGM0rRDot/Bo1lGVGQyGIgvFSyf1QRn30bn+RUvvky9UeO/P8XaH
gicPqpevMiAnrsKvC81ud0k/73NWDSKDCAkDuWqkzUqvhdohNpE/RSJbr5ngjw1jn9sA3Z3r5v5S
bWtaT8KE+Hv8tYwM/zQEuIuOPzXNCLc/9M6z1R9nMm6PmQfbhHoaNiGur7ANak+Zd9gD0BcnlZ6n
7daD1vqUtOFarWvuaqbGeMBTrj/QXM9VZFJxgac5q2QP9SSx9sIS4+DDqRFk3bge3eDz0vZg2Zjp
GjzsTXzh+pxc6M7exZ150BFcmYQcWxvZYvTol2aEk7gl5GmKx4+KLI8sVskpj+aPMGnQhbKN3vx1
2UXz8LOmhrmIyHnuFTcAquj/UtkTgAvIgsr5bsxcnZDbNntKcNUw0Yo2+vDXn/VzF7EXeILjGAGJ
safNwJX8XOBxmEej6rS7y2hNuxe5Qrd4+T/7iP0S3gl2QBX73s29u5vwYK6w57n9LZoe/zc+BAwL
hodCNA12wuX9h2jedUs7OHcXqic5Xi3ejWdPf/0Rf74t+KrefQRGarz/CAg0GSPR4u6i7FHIwyYA
ULrbIX1t13/zST8fYf9xU9590n4l774xeL6xSAz+GAmjjwxJyYPzLK6dra04b2L7ofD/S011v/B/
Aqk/Pi7HazsjvCIuBP36i4ZrWLtsyhB318uPBMhCClOdX67i4/fv7x8o8U8d7Hv+6j2O9f8B1/X+
yBAji/tuDf1JTnkPfv+Axr8TwN9/6vdDBsE0j/0VQH6CRfvDCvjDQMAhw4fCDoomA7gOYeSPQwZc
BwL7AI7Dd6Flv2W/yylwHYB6oTaBZQ7Bdf09OeXnAwDUFMBmEFGg2GBxYPrAL8+V2cJxkvO83Awu
zGvrKAdbFLZpV3aps/eApdZzu9ihq32/M5/MGNnnLtKoxzof5L/ZrPb3Tb5bqd+vBnNNghTZi/38
s4cv3j8Y0bBOXc5nexPIgdywbhvA7qQjOrrFmjEvrIvmT6mdvKZQIjPAnVvVQdbZ4MGVmGY4fM2N
8W/xOzgctb4nz1vsZeS4JjF9I6tHlsO7+/2PJf8T7f2zW/HjimGQwIbJd0wiwPHypytuUo57u5qb
cIkZq5Jl658tQNLwYFJIyoVdF9JWgIQAKqfJ2hQreq4jgNaVVDAGzVe+aE3KxpviSptmhKIiOKCn
VMWAjdnY8rtuzs8ChxNdYeRX/qK5vOx6Fy91o73kGkCTFce//qv+fBsw19GHyJaCQkzC4Jeika4e
c97Uwz82NH8ZGU7BRdQFWBoTgKY7t6j8ETxU/2MD+Zf71M+1KoYthheuZMDwA6xF/GO/rHfbYozz
SjRpNtwM2UZuSMfnm0Grssko/zcla9/x/rkj/vgk7IgYX4namOMU//MnTUO0blLx8Sab/OhVulH1
R2qyNSi6CfC2nPutDP01G8sWVJT4d4tmXxQ/fzwWCky7KISxiN3hl49HqqHhbBDNTSq7+FW0c/za
9fs1xJvQdaLGsVh93PojaqsLANeN6Zvpc31y+RpdLUmo/DJ07dgBChzEM+BtOCs8W9e3ybPgAr1N
pGWcj5G6iMME+uBfLw/y5xsF6gHbBiY3Q+1AgOrnr89P5niIY+pdk5mK10YZzQridQYUWLiuAzs7
3nSfWZaDEtgkPyRjtDRlQGz6zaTbNoLKYUDJx9a+NSpMv9p44un5ry8y+pNQvGdDsIj26dLQUGDJ
/XyVicoaX3ETXrdwtyjYbpNzEOVmCfODsfNcqkX691asMZwaHIV3jO2oAzUd+2hCLqCX4mHqY4GC
2Tv2AXDUCAnDQO6M5fSc6C6rqBxAZ447OtmYsIWH1+rhxk2evpXeFtaMkbwtvI0ithBYjt41Mf1D
0LI7BvoOnDeg+RtD5ZMJhBdWCZiRgjRrgL0hmret8F3WXvU8zj5Rf47OHBLO1QYgLi+dzyOBNM3a
nLxMrThrrTg9EwepZWuXL5OW5nH2vZQXDp7ogWo5nyJIE0+SE9cdaeqRpth4Rz9jRAEA1GaQ3m+z
SEU1TTo4deMwnYjM+6+NnRI896HoHpucLmlhZcTA5qu5RFBjOpIoyG+lE0sdOSUPhCzE1pA5CSut
Y5ksbcBpLXSoIOIA46Ie8ytCRnOBUhO4cgA0VWQm7T8uwueXAc6Hj3Fo4uOcIyVz0InYXrNkVLX2
l3Y72C5jB29Z/NdA9+6bZtMUl1tg0DsPLLDssJgWRwHnXL0yO2cHNVJe9SYUFwP+UyRfIpxGEyss
MFINmrRMKfIeENqWDTxaT8vQeIM4qqSrWTSv/r0LSYSwivKhU2MlmUNoXK6PS5guV0m3bT29n500
QhRr06+D+sopBz30STsP7C0HS4atfPwSrKI1oSpmM8+Tf2M6I7rlnDdyO9p8NvQkVANxpQ368dFP
vfDUrmE4I3mQgyJcpZ8D8+UCuOdAKeoh/EEn66RzOAuq3hB6y6WfpONFt6aOV+vS5+Yq0SbEinJ0
JNqVM2rhIfF4S28tHp2ElRKmIhZc2GlxGPpG5UUvUbxovQBeKz2KsF1crNQfonLUVIiS50BBD0g4
9KLWFF3BIR6YAOyyxdgxBwCBcym4whHa6pXpO914QtQjsMRv3mzTxq/8MTDHJsrm7Cb2KKPnIUxN
GrflsGicQi804HPF64nxVNRU200ecqWH5rD2oDEvfK0Rx4gDuPBluoCrO6pGNl6J2xp88CaBgytm
oEIKwv9877ZvfU/jKx+GD60QuTiFKjd93XGTPGyzgVHdemNALrnjOh2KlAfcHKmy0/CIYhyeW7YF
wGlhpg/1CHh7Q1hk2fIya9fJXeNIjKXt4VFRFSVkPqswjvuKASubqxQRH2ghqUZ/MmxtuL31HV4s
V2W4AFGF0B3kifhNdMGatEOCqutkWDVjQ6ttpl2880ZTftdS10Zl2Mh2K8TUbt6lT/sIXjRlMS4X
dhBIWr6NJ94Qx+ouj6Aw7f9dQfImh6ErWSjLxTXeVpil8X5TwzquXgGIHVEbsg3NBsHARl74tPYu
mG8SuCRjNeTSXMfzgJLEdNrhB3IR4tuiDSfDJ9AZAz/LVfTIVrl4ay6JYeYpaoP4NV4oci4ZweI9
zMOShrUG+IiLn0krqj6UoL0yR5H7aeQncGXoLFrW2kcNFPzzpHgIqsExWiMn5gfFkFH8nrgfW2jD
ypKbbZnC6F6bmDwR4+G/cImns9IAJ15qC4+7uVBLELjTkDId3DZemr8MvtwXZ9tKfUx7zfXdskYm
g7wIgwgS3oALGzU23UtUsPwFMQusboFdUlVQ5SFsG53T4K5VsJIegmzIo9MStW6+NovZm0++LlAW
vGSpRyfw0eO4bRAMA2G2o9+l+x+/X7rD/oTrmgS5ieIBf8UM550WvBu7DSqIxaMz9axr7geV4pFX
M7oChn+HPTUwA7+VJFrVADyV+7jdTi3ztfD4BEzPn+VyWHByDndCMtg3DTxMJf4ibCALFFz0yWYQ
L+Av8nNmG5hlQGM7rIuVJa8OMQlaLAoGAzhRX18ytLnt5TgNXfuYoVoc9eCTG5kz+QnDKBNZ8Ig3
wRmn5Xy+pHxktlpVCuZ6S9fwOIGQ7kBNy/VL13fx3TJr5I2kv9rug0sE0xcQ1cS3dcv3PaSRiH7h
HJCFdROsXB+mROQfPJ+KgwCiKiGJY5tbleMPzWj0ZS66Nq7iQAUI3PUxElaWB/mLaj3L6j4Y8Jhs
HoWoGQ0jkW8CG/J6zgiWVO32HbtuYw/f6GI3W6PIOHlJ1IxUJlJsxqLShtZH6y3b31Ru8ycP4CA5
b7lR5KuBB6sBa5AUPqUL8KsWQfhWRo4l7DThtrjS6/LksI3WmutlTXtgDjAnslRfRGKx8cXmEtyc
zid6g1XRjeP1kCzRlWf8aKy5HIS9ZKubeJnFEMaf0Inor7AosI1g6wQTgoSL00XubCZRBaAu90yS
5iOktTCz4HtBzD9D7/dy/DJNVc1Tr2Nnj07uM2e+Z8s+1YjDNYjB3i/aQ7xOzXCA62absUibwLTg
irp+i29EMvV9ISfrJ9cR4dFSruhudO34hLvmsqFhhdpSgb1D6x64c7ioyvYIzx23DJZm0UULS6uV
rr4u6aQT+cHFK3lqucJaQ6VDQLVnQt8N+UCwwQbI4BwywRNXLPMnmOMuI0XX2fQ5DgbpKhczE11H
tM/sg6Q6VyjuWNH11IS4mzg4gBxqQtONV6maeHgXLH6fnOgCTRwZicVj152CpVQJTbFnoBubzXXf
I7ZZIBHEDppnHa/c4vunVUZ47lfggE0RUZ5ef+9K/29rJNfNFzXq8Zv5Nfz2k9jy3y0ht78p4l0T
/yc55T975P2+vr5XYPbM+I8f+11PQfo72t/jl6GkZ1GY4mzyh56C13+lkEagcgFb+e7M/hPIzOFy
hjirwKCHFIOf+l1PweA1KGM40CQQSL9nxv+GaYvH/ZezHVgqIF3wa1O0HEjp/XK2yxYm8znjwBeR
lz1nfR5dq2G5zIZelvGsXhIhKrDd3cUwpv32xkfI8/fziriI3ECbk6W/z/mESEsHZoxF51GL8bAn
hAqyrdAFOuIdm95GcPH4gcGbOqH5BC03ITaD7YHxMrdyOIgUfuXjyqZPOQdG4cEALlJ0AG05BTo6
28XbzvE0LJyWa7Y257nvqjWg3gVCOt9YPmyQJHwKKB6ZF066/NTPzL5MeZZdBk3SXWfhgN6/eZxm
GDV1Bkr7MJHdolKeX6U2h/UXbshm9E1QILSI7YLkl12qTC0ZKWMTmEO8TDdZDG/NhmMOpARBNo8a
tBR8cBfK6RuidV6aQX5Sjl2txNUcRE2gg2s/YpcO8ZXCgBEtGmyFcF+y0s0aAAbM9IJRD+yGMuwb
dWPyG7LTFrhaLHmBMxHaVa7JRa7mBzhzj1nrD/MJeRaAkM3OROJUUw47JSm/A5OJ2eFJPtPUFmFK
o2NIHDIFMY2/dXR2p2Yd5+M8dF21ieFubfUNovznoec30g8uM+MdRu3OnkiqccNWI4fCb7cybqav
bggeGpN/+n+yxfx32zwARID0+kueex9Np+bt1/3jx0++2z/ijIB0gCyHx3QPsL7fP/DYZhhT8TvD
9s/9A8Rthp0o/a7h7tnb3/ePfUY33vOOPB5ACvI3gW5Iwr/uHxlOOMgRJSG6l/1SflYtcuqNCcuy
6XZYmvFA1kRVKugRjV+GDxBLsjpoQaVCpujKvkv7YovNScbkmx19ENJCuLPDabdAirGtcCq+YCOr
Y3wfFQI5yPsNc3uYWV+3afvZUQQNCegsQMVCFuiAhjoVcVZ405rfcSmeY4XIl3ThunuCVyv6C8bM
WPrNB9qGT0I0w21K4JEi9+MAZqWs9hcCN7bnH2jEOpxH8vusg+WwzMEbYJP5wALPPQ0yv0CFvWwn
zCTwl6H29PIgibtdxqk/9Z68saAhWCSPsa/b0sbLlUjVI9cxKOZ1vNZxusHfCxFlz3lJmf6yNmQD
H84sLPBV4cBEj6yRj6CvDnyJcOyPVKGVak62T38jBGIPfPcbyyRIvI2hU5AZ4FdxwceGVEs3QzJQ
XZXH2wNlZL2IPYKvZm7sZd9s4O5idpNPzRmkhETSt683431t2z4vGinTgo3N0W2I7EqaqsKzcNsJ
h2QNb/ow99ldyAaYx4agH2unwpjwoZ1S0D1fg2z8luLXzeseLJWAVjjRr3zG+VvTvSFJTdUisolD
QEsKvEcPpriF7tBHTYn000U25g8gZJDfE+RaLu0CKZNMdROPugIIFBw3CEDRBtais3mVefHzNKz5
Wdr2oktNUyWS3vg7o5zRDme9/lKP5g7qQWV60HJuOIxLPlckbj7kkY6OAyD7ku4MR97DL2vS61Wu
H4NRHKIBFqBbp5MI7YPVOHySzb3hk9E1h/2bTSW5xfvbw0KS9a5dsrCgHb/OZ49e2VB9JoqmBZru
4NTsLD/3RFpL0JJxvQ5a1v52iHf2X7V2umHWS8/TngxYvocE0u+BgXCSXhEn2VcoHO5swVJi3Arc
ewzECOlhjUNXhVR9yiPHQWAOQPsnfIRG8GnuUHsA7cwxvuIMGR1P8O05nEZE3YPVleGUPmYyucSR
820fi1GRLn7oMUfiMsGZYhPwLrirIPsNNWa6bAXGfnxttyk/mTH9uqQpK8JsQxbM5hoggr43gHfw
IF5TAPZVqtyEbKgqRZN60H0jOAAIu2Liw1yQZcVPLHYsBsfWQ0vot36id71a4YsLuB6Wz2OZzBij
Qbf+UgaDX29+IjHrARk6YiukKs+uDXTV0OBTO0EWThJjrjgQmevQqfjN92n3NPrRdNHbDGd+0nMY
4P9Tnb4DiXv8519XJziFr3i5z6v+c3Haf/CP4gSCcB9PhV4U76tOdkfwj+KEtzDl8e+poXjHnn8v
Ttl/gCHIcx9qPMyEn9hrvIQNLzePACpCq98737/DXsNm/FNxwowkBLITdNN461f6S3M7MORZsDaQ
7PR7doEZQ0fOgP5iIg94LruiAwv0Ffb68Rj6YFJyZOCGNoKXMojPKkI8Tnv6ol95XOchQjbMJSGQ
By7LeQ/WtUhVVhwACIi2BGvWLeJOsvwD3yN5dg/nLUjpQRK6UkjtYbODEoAcn1ynDxSDBspNZtfb
HvVLx85ezL05M4FAZoc84IZEKwpKep0E0TPbU4MG8cEc6aZqUM298dUr/HOMtkHi0Ip4KhwcGmiS
37fK7TpBPnHZg4rI0H7MkVxMFuR6kGR0af/kxeLaYDpRCZXieVDULzwCtZm6y3SLHgakIgnzPgVI
STLkXI0vUwDqE0I040c0HTchF23B4+Vol3jAIxm9mj7TGAWAGKaXIle7BzNxLOhRwZENX6lc6ywb
ZkRnLQISyHQqt0AqY0gP7XHPxc03rrdzwTZHjkBeDi2yoUtnkQPpyFB6wYZYY/IlMNNTN68HHLVF
gZJ0tyBpunJxaqBcFTTVd8mcPnNJGZjC9WPS4AjSOEwxSEmE3mNAdxI22JKGID0atd2rZUgPSMuc
FwRg+YaGIjPBc8IVgVIT0DIZ89vWpsFNjwDtkrFHeRPxUzKDlAYblqxggTAe99Ck2OHAMNaN2Vqg
bMZCpcg+8iQBbS9BwmHYwhGgP/LvYvzSpQlmbewx6UCSQ4/Q7+qzejXrRYNCCOK9/axU+Ab69c2N
PvLnCA7ves2yJ4lX34q6RfV8CeMO0vSagfRC9HhEBBljKk49IsnxzA8qY92BQB+v1z23HLBkPWbf
wfAhnk3trHffTO5rvnVOgeLBGQvk7HGTiNCmRp4jD+F5iV01TxABGgPaQtdMsyqKsovAY8NxVMsr
lNunxgcnp0Xt7+c5LF2soxzTTGxYcmnso4yIRGqXLXWXzjgvQp0oyTaTGuOsgLHG/UNu4UAHFEm3
hp+GPLmiVhPMA1Ft1bMWz0XagzgEGncI5RgA4E/8g9eHPRq6bb5cg+GeevxLyFx0b6h4yFTkF7vb
eJow6qvgIFYw1mGudTT2GEq13Y4jnpRWLMtO693RNL7iwveryW+BJrb4AlG8jSFnPd4j9D4VSmV3
WSboaUnGm2XPvFnjznkwfo10j0Tc2r6KSEx12umu8havq1Cl2sLFQPAiGbOKb94xXMt2+y1g4Ver
rtr2pEdXN6NEspZiGVhBX9ddfw1WeU23jhRDCG5uii4G9GA4ZPMXj3Vv3YxHJhjQG8MUOugcqRBP
AH2FoQgdq3+Cr/cttyNmfyxYd2GfHqNxYHUEOxPd8WYwoUIOV16wxNdkEE9eI+TNYlEz4WS1dZpv
tFo2iyk3lI4lU4CJubPXVnVZAaOhLfq8eeQKqzmOGPJdfcvriOKOQz2HB71u9yPFGAKyYVyUFnYr
p9V7CKWaKx+fVPBNgji1GKSCYydFxt+01ShNdMFxv2zEzx3MJkQn5L2Iwst+1I8+9Z9o3IwVCeyZ
Ak2rw21bGgTKlWpvp4Woj10ea+BoekjaUs8tRuhYnFONDUVwaBwdoFo0+lOWMx5d/U9P8KMnQH38
1z3Bf4rXr6P6LxoC/NT7hgDjnoIY0w6CLEZa+J8NAfkPJLT2LMKvYleG9HHuY0QxugWMM3wPD2E4
NUlj9AMRyjjezZz+rX7gO93yHmSIgU7kPqgN7PkYvLhPtH5PbIwTht3EK9W3fh8+dVhngY4vRaTv
uwVbktuXIvPhQJPool3XthL7cqX7wjXLTDHaYpIYIIF0IzypBz9CbJ5PmHvjIkwl0BtBXd6f/By/
a0hHjsEiEznlTAXFxPtHtT9I2zBmmF6xXHsSDxlGECCavz943hLTCs5iW/cWQ9TAwsobH08q3lAe
X6d2G67aIADdnwSYVUeRAwr2Z1xDqMr2xz7hnBWbGp74sE8Y2fcGX+mTxGZBM8Nq3cG4SiPxBrzh
Bdawt49suxix1Xj7nkOlvt72XWiLMZciJ20h43ktFbaqQZ1ackX27Yu/qrA0OUPql7LK2Rmox77f
pWvXV0O/dFWAyQn1hG3RbQCrF6O+ztgwMQHCYWIh/iBl6UljUwV1iSE1OEdvVzP22yXKfoux/477
RpyvsV9B17hSTN01+2YdWcSPcWS/7RK1b+RzTTIftyRMdWEY06d03/hh+D4gyRrd56gJC2qDHjL4
PXu5aAgnwJpRQnRqUUwS5O0miuxCv5ca2jlSKD+7ClCF1rmJihjofpsNaEIwocPfS5YMQahkGrIn
5lQtdQK/qGZ7kWPGB0uMusc8THsam+ko/fasu/QpyrdXspdLpH8Lg2xWa3lejQEHSQ/LuJhQYZ1v
A0zuk5hMhr9lQxXOQ9GWHSWDfzdFZnjMKNqvTO0I8ni7RQr4rxtPgfV2Gvw1H5sRx0o2gNknHxF/
uVawvCsvi8BwufANvRUOr+t60AbEt9QZxfSW+LPAI1qMuBRMrko67JbzYxwwfSky/2zb9tO05Zeb
JFD9Rn4cnXcl1xUTLX20O4ZRUowddYXS+sa0Gx4f+8QZ/Sw50ipDCN8fE2ce6RZiVFUwf5Bheuqk
YRdZPJ6hPfbI6iXikIHZT1j8rLjPEY8fEiTHt0f8TnclbWxhA44jJiImqvxu+VoF757k+81bUFD9
hCYVodEHPbZotTdM/NJ6GM46mJdy8TD8iK8NFCLdYwgaztkfmU/34Stc3bVJnBcuRAJhWMkhm8VL
FmAuIgP4viCsA6VqbHCDpqGmfYveoekaPO0mOOlm74bahEPfmk/+lvknmfET9KT+mOBaCplAd8K2
aBDEAUrQGig8Ekd1g8GTXgIhBGW4bQ0U7R6jsLY4MiUc4aVYI55WOdOViQg8ffwfL4rvWpYXo7bP
ZGkvYzWfxxDIe6QebYpWedPiyD3aFYPAMNChIzd2mZ8bsOcYpMTvRDTfdxh6mnXLtRbbR01hPHYg
Egsxti+gds7R4l+sWj+ZDNEFOQ9+4Y+Q2/J+ueqgWKS+Gg9iRVsfqOWagsXvMGCgXhyp02A6B/M8
YMbBjEGZ9LeGkVugUeCbpzuJkA/GberPlCLZP3fbx54jAhnJLKthW/+mRQo7C51gYYLpaeTR5eJN
Y217rBqge2v3Es5tfNFEyYDT2F72+QjoZG8E/qeE/yjhfyk6Ax0xb/9FBccP/VHBUabhLYH49MMg
CJL3FRyU71448SK/FCHE/ZWe/zjSI0mI4p0DXftRpvexI7/rzTneA/bdZIoxL4j4efS3Sviud//E
ImJaMab27EozmokIPOLPJdxOiwbDw8NbvUQ+Hm57cmskK9JiWpRK5AFy44zyuX5IMSC30iz6AhH6
ymBtVfFu07cLLBGj+KXBAasY/AHTjTEEI8OIrQqDDG4WzBSqMNVwLMdx/rzmwyeOLBHYkYcuao/D
as5BGDzICTW+lSvGFk2BhlkUXA0CFAzz0mfd5WPZ58LAQKfP29h+wAQnBNfGbSmTRdzGLLxFXqrO
5XhOe3nqEIc5bZZiWHIXZIgKLUeQxHWQTd/gmWGYHYvPA6QLjC79nDVrkevtZYHLVnQBmu8QJE6R
RGKowomW/oJAeDrxF0fm3zr01iXv+EUwj0MxaYi7goeYa4f9tmym8KYT8tx3UVg4pb5JywliWyN2
zD67bTC0EZPr5G0b2+m8CAPXu0HVT8XYwdhXGJ/sM3qjk9GvUHIQNJPR9i0LbHdjo/TL1uDLnajg
9wE89YJr9cbhS123Y3+Kcw+bQDCtRz7o7FY3i8BJz+GuQVUpFDOs7DDKFZzNwJEuI8mxsUgGJgpI
QrSk7N5nIcFItJYVkjU9miiMxQJBh3HCIoSiv/btRRhi0IXXNMGx5Tsbu4H0TBboL9jmAHRQgmje
Co040s0hwijjQ+Qw6k4JExzNGIp6CNsreGuXm2lvu4GczMq2qhHZN7oB/2tTEcEDaMJqnTEVktD/
xd557UhupFn4VfYFKNAE3W2S6bOyvL0hytJ7z6ffL7qnR92a0QwE7M0CutBAwnRVdWUyI35zznfs
eZvKLYWaRJgvhTazzKvdbZfQjCVT029dHT1EHjaIXVES3eC6drZ9ZUZr4uqTHYPMwGdSBe/MMJTr
jNS1Vb7wm9aThYOP+dbGCZUOT+3orOYyrNYK+iQEB2l8MLkyt6Ee3c16e9X3arGOsNqtyq7CcYx1
KY4sNHG1Kw6Vy1HMdgBN9yJfolgvXsbWTO4LxFirNnKL3dwjYNcnIJignrVL06GqjKoFTDav+8po
lH7njAz2o1FQBLNg+EiZ/LIgtAN8iLmyUzvWNWa2DoKCWxZZxip3WY0g38MEKkA5Ksno+E2VZ541
JNb1ok3XydTfWGOerltg17GX6dkZOWe3Q/Hz1RXLW6cN0aarNKCRbtZcxKg3PGOy2HjUFtzOEbKx
Yg9bmJjiRlf6h9gtO6CNHXCQbaRPMF/jvnoH8sGuRUnRPyWgtpyo3irxfKcpowadOrQ8dXAPBQDw
9TjOGgDRnhVyO+OZpcpHSreOi0I5KAIsuWHcD1zvHsvru7xODnZSXI34ABXFZtXzEtj6sS+t4Ymy
+HO0utMkFGVVYMf3nbEfTz0d9c51O+CfDeSDMFVPOj8tqqLjMIivGqUbc5LsQh1VbTW49sPiIFSO
k8VZdW3+0dqolxE37ksoLVg7TpDVUdZGg+HjhgOXHEs66hCZPjTOCdca1VDDHy9aqBB2a5gb/IUS
5JZf9kp4m03Bi1r2z5XgeHDUirl72hzjUXudUsuiccCPO7RluNEA42oxK5BUYDpNWvqJhUlc1g4X
sM4fe6BMvq2IK3eSsLDcLvYwRPmTnUprn2aDV3XlsU/UHaKYwoPWuknUsr6M3W5eYZVmCjm5PmS5
zxa/58ocMGJGuvXMzjqHg1lMF4XevZfC3he9+YQWxtzHubZKmuUNBS861XLa8Utnm0hHW5trC25P
+xwlnDJuqVDHjF7qKuVqKDVM3dYOtzpI7ZihVTxew88/ZXpLJR9nb53j7uzCOGthtVXY6YXoU3lP
Id5p/Lf5Gjlx7LVx/9XGNhalsVsP5bzvJEa9l4h8kV6jKVS4C3ovM+Zj1GXXOQR2LY7uMkwSkVXs
bIlo72G1Z3HnIehqYJy29iqH5x6gmY5xSqvthGdFx/wNLrAHq849psxbmD+tQ1+UYka1ihs1xgL8
d230vTZiN/3n4w3GpN23ILW2e/03JRJf+1OJZEJZwJumYVNEOvPTkEP/DcWO+WNcIeug37cemqyo
XBMcDC4q+6eVPPg1jQ8DOpzvE5C/xLzGmfEvJZK0iLDtkJIBZEeyhPrJl+Lm9uIWNFGX2RAjZvea
ulQP2aSJQ0E1AprByu/nJOQDPCknp2CEmJg5+QqJ5UeFQqJDl9xNYXdMnel2UKfTHDAQqCLLXaFz
Q7AYL+jAu4cxn892buzBEjJxDMpVLSEp0wSuHof9BLkmXhiZ5lxCREy4jOjdactW5MuAyuSN35Ql
cQqQMDb0dZMqNdEIYtMnCcTgjM8wUQHPs0Wv0GZiXnNM5L7aVHfCotsTvYLZGF6KUS2qN4+QP0Po
sk0RPGKe9TvdYnohEZbx+GYBfk6COvdNzX6nQ4lxNcdPVj21K5xSewOPfl9zi6GsfrJCsXXsavGC
0dhEMPhXRpvvdGsw/aF0du2EGmoWHDeUJG9zGbzl3QTMLqoRHHTPserGXi7SLebPPXdnsdGmET3E
wLnjhNVHqApOZa14qko43sDeDD/ou08r0JdzCz44rszgyHGOtcOEH8ettFYKR7vRKd18gTHAi6WE
tCQsYTuO6VEz64EJJ6smjr+m22BQ8RZhx8xm7XKTzQa+a3wCaydi0Bq6C3gavWgvZtWZ/BRP18Zh
YOEHmTJ7HcO3VdOmEVUT5oVZjYN1obbxkSF/tnXcsbvVzWF5YFgV+aUqScFtpl7QyoMsGtP0uWxo
K7lrrCdWAvlN22j1VWTp8d7RmulUuwGD6jkroW/UwD4VIZJTMBaV1KNDUWuWTF9BUQveJidWHASU
Sr0vdPU6BSa3jqKxuldnXvhtgAvvBU54+CUclgO5VE+N3dyvUwRVc850rJUaq0GqrdoGpTfyq45E
AQQf6xpZVos8C1G+6yl1f26kciuQGi5bHehXpa7LlgovgdRLSM1XDdgt+aYCQw6GkSFcpVIhVkit
mCVVY4sABVxKJZktNWXlN3kZQD37u94M5VkpNWhUh8ODix1ib0HdX0VSq6Y4qNZa5GuT1LGhlvcn
qWz7+zD/dphrnGp/fpjv8+qziV+zfz3I5df9OMjxugq0laqrmWBIDIFv8Mf6WrMItSfXAMf7t000
X/XjIIfCYxh4J5kkY1DnhP2919XJbCJBB4eZ8V3v+Vd6Xe2bdurncbWNporrAlGVjsYKGNmvB7kd
1UgxlXq+mIyKJZiG5MK+qGwavS91WQoTKw2DRSatRqzay6600hSuXjAl7EUsAX1dSjscNru7Bi/b
LBU47yFPv1e6wWujpbdpkOZXc5pGDHItAPEmwEbutvaitKyvqHLASuQcRFpBmxT1PSkrLVvFDsom
iyvNPC19m++VIutg2qSMiLzJaiMvgUh5rlTNoPh0T4nVpUcwsIUPUm/eNKaLhqhOqRxztfJyV2tW
Fh3PWQzzITXjk1N2wTGPiWNIFZfymB0X+n/dotFjdr+ZXDvyEf6zojSmFHbgN8IY2Ifa6QtfFcpz
BqKgsqbiAODwTrMiFaKHwCMSw/0J3Vk5N4n1PhbQLOrS1rYcxV9LkrzYY9zmzJq1fD8GxN5UUBDv
6QgDH+flRUjKzb6Pks8Oi80zbBf1esk6AiSsrPbtNmORPctrACmqexyUQFtbo6ocRDWpJ5Nkpm0c
6YwHmt46NbZ97bDfvAV4sh+j+Q4vbbEqRSG2qlNe2xa7MDdoWO7Dd4XBgqNjSdkyCJU59TSnykmL
wJnZcxOZz0OFmD9QjfTYBbPWbWnCQIgzSm6s5jLivRuYD8QXM/YVPDohIMWaoBd1xBPkKmTDOC7C
IyoWBZJ1N+t3it5nMfPldDk0Q+FexsPMzgOUOkBLZpRGcOkGZejhl3S/Bs1NT3rp+hqeqltuRW36
e0wnFeImHvr/dHr5n9n/nLmw/92oji/8cXzBA6NkQUej/UNd/vvxpQumbjryGvGDYfjj+BIM8VQV
Cei3JEFVlzzbf4zqQIVhFrLxUUs1p82o+q8cXxTIvwzqBHguZoKI31GVi+8or5+q0C7okzZbCv2q
oDNT0/hkh6lnDPP6p1fm6vtp+Iuj3fm13P2Gi3BlwQ2gGBc2Ts1fT0n8mSmDinS8Mk3cIh12ILE2
l/6Qx/glSmIe8KbZtF9deenO/alOq3tbb3AvsRTxRlyO65Sz8DhwMvlUAFiV5y5eKSbQr2Bsngh9
4ZhyIjTVcsIWtdltxQ/09Cq7KtWYNCK7wFdS6zUKxYGKlOEQ0xtCD/LJA1LGBgMDDdpMi6lUWmwC
a9jANej8HsIR+SMTIwbxqHCyw3CBRqsZT5HISg95zS3r/Rsln86KYp67GJu9OtKx4u7f4/c5j0Ee
UgFp9+jtspUaDoOvy/ymfuiusQ1tgA88uk7zqYf2S5jPz40UuaS9TTjYHF+ZTXC0sMRsIGHuLA6c
bRsh0jWa5h5F7y52BDEYUXRkovtWjFG6GTivKXogJmblVPlKL8dEyAw2Wre8aHkua8/kUjiUlRJG
rFSGX1vpS29r900bwkqHMEu6w41d91t6oR26FoVZJF7OURjkBGDHBixi3ipzlXl5h8LVdl/cDn2J
Mfl9zeHa9iJd8UD4Dog83r9ki7Lky5lR+qiWeaEMvblnacrqn4w3zZ7P+oihbCZUbow0WFBadoV/
K9kYxrhdcnERhkG46jSxdQde22jkHlQsc/Cr2n2hgdoxNL4pi2X2yQV5iC0WYiFeHqSw2W079nvN
TAe/MdR3lfSKVTjOD1kcmzhtl0t9YqPVRglpMEvzoWX6hz5meLQnbVdm7p6VNwR+KPVcadc5xuwJ
aMTJNhZo71nxviTVU2Rzk+ZWeUeEWuKL2k53Y29sGZR6OpJQRkK4injE2LIhCsXSFNWvJBqFzWZx
lG72TGsi/0Sd0hiktN7gYxNjzQVpjxvNGeX8p5kOWWay4pk1Tw1QdQjjY1TdfWxqm2FB5AP7oRoe
UtOQU6pRU5eVGYP77JFM+2mi7w1UKhoD305KmJz6lSDAGy1VPoEJpauacK+Sp5G55EA32Xas9Ea/
HAkjUnKTCes4nJyGXD3JVzLJOWDKNMTStjE+W4ndrqewughjNfBaVLCsQbHxtacqAe/Ztbtx7J5w
qSNAIQZjSFTcjuVFavGRNYr0it32MVOU/ZIxUI7CKFqTTMPof4g/rBHvOUFFBhJv7QZfLTiv7jMl
ItCbwHcXVvU0Nmv27vtINBgsld1s2a9Tor4s5px6doapbs5eMnE7jC3z0v5QcTNmCqhmEHj6BjlR
5AoIzLjpR+KkBoBrjRYxm16qYWvYSbdRKZXgoYqXQmiYXMvRD5SmAR9abXutuJzL8bkpEya3s3iA
DuJcVAo+7jvZ3IWOaIIdbHFQaf/lGP2V8SBPUa4LQU4XUk1T1f6Ib2zbFkTybM1X4+zZK7ENDtNt
ebFPupXyWjxW63TPdGwVHAFx936yNfb/+efLtc3vpe4/frxrc++wPjGZFf56iDcB2TeK1S9Xg/1a
BXtX7Vbu9EJy1+qv/xxdBcuk6ZJjo/6B2eF23FkxdsorLT6BMlll2acb7nHi/Jef8+vt9/334fXk
DsRiQTKvVKb+dPvV6OfMntSRK8s8NhbsWBRV/42VJf7de/bzL/OHH9JHqtrqUGWvhk37wDJ/PezU
Dwf09qq8yHnGVjfNmp3PRt/dnx0/W52Hi3jz0K6D9XVyGFc7RhOnzucP+uWGf9YP//m11n/1ln1/
EaSpjD7GwHr/jXjx04uQgYQgD1LVrqh8z8G1ulYvtMfwAEUBpZk/rw7P2nbyzvVm3Jmmlx9JyLxm
Y7CBBOx9+6v8X/sY//+ZjOQD/Odt8Dr7H79skG39ax8sv/BHIQlCGz8hwihDcHP+OtDUfoOIAXYJ
JjaqKanN+tEHu79RQwr6XB0bNYXmTwNNqfDWBa0wQhw6Tardv+BRRD32y+GAW8nh+3AyqQIdDPPV
PzzndRhMOFoGZFuifBilbmNAwKFQ+q7spG2uAJag7uCyfDJF1XmuTJXrbMhuTs7OtVWG4rCE7Grh
MzVcdeIRvabtN4SKepWmkz4kWG/mEi1AUQTIVPQlAQ3u4NVSj5IgTAHJwJBzciKGm/a9i3iFW6XY
WAuCJBthC5+FcNcgdeni6TEYycUckuq2KSMEQ0rs7jQ1fC8QykyGemR3dy7ViHmT1NKoTaJh8ACO
WCG0ycZ4O0vlTYkEB6nvc9Dph86qWpAP/a06hNkG2ijA0BHdBgvNN4vB6a6T6p4GvMTGLadPq7Q+
4XAlPiu93m8RBbmT8VToZXGo+ox8O4RDwF2uI6kk4q/57hb5ZWqy/TEG21PIYygfJrJK1xw921QD
TG1CoWZDswlLNhkBstTFzD9p2teTJFaXWbUln+YDM8jNaKXhjikoMQGDCd+BZBk/iRVr3SvTpR2N
BjlR+kMMH3uQoGyhayUrSQePSAVGO4GnnQ3j3rC6F4AGOLoNkNukw10uEsLtqPODk7FAvJpaRnlV
Ny1MEbgS3VOkVF9LH5mIS4aE+IQeAsgkHUhLNm3zGDF9HSfuvqrn6NpI9Xt2Mah8wJTsdCdaLWFq
PC+qvaogXLr9XW9l4ZnA3OqwAKLEnq6kO2iL6zFRbzRExBQZDhI/1OSrVI0fpMqctWLvrAwFZasR
QrGprGryzRL6jqKUV2ESBCurJf7VUu9A2aA1TNDG9TRGmXUQfcFLzHg7SKbHyow/bCM/BUqCvEer
CWhqOrp9pX8VeYuWWBjP5K29UF5DaQ/t7eyKkul8stNVNOo21qmpXzaKbhQMdZzNXKT+lNjo89KT
FdggkHB2gV66zZfiS81KZw11xlpZ5syGLoXSMSjJu2YpT6bOpjCabrKoO82Dcod14aXjuqRJcFd1
rxzrqTmrRnA/FclxHnPerUB/CHMCd6MmuAO9c+wSXqFKD8UGFxL7N8c9FzrxmfZ4b6kY4LIwS5Br
UVKDWnlrhXszNsk5rJqNHkhloz1cjpq4MWZ+lzyIr5tW2+O19oTjHEI0hb01HivFfAvn7kG2K2Fh
oj4wL6N42RlNvqpURGBpOz+ZveNsk5BglDRmpcYxB5G+VtgxyBVpAD7GG+LmqWnzg+EOF6mh70mx
e+gL1vkMcwxmTeOe8E0JhZLCBiW7Yfv/BmWIVWGaNfA4na3kEazZ5znroCvbNZuXfIOhf7cIhkNJ
lSdAPipvalGd6cgb5InLKaWV61QMV2VPB6LjjN70w3wdqujtNBKLVV4CzqRrY7Yukt59Ny1ipCvb
utctcWGIOvGMnm01Qxqm8vKIa6IF7K56q7vFJrMjfAYVU60WqQlD0GyXI87Xsg6zRd5ZnsXz1i/h
raaKNztnIxnqzgUWbcyIoaJs6N9vNBvBSB2mGngO+02H/bLWigx6vlWtZwOjXB7rJKg68yZlI9p0
S3Cb1Av5Xo12V8RDQeKAHb9XkXK24EyssRaD6I8fx2i4bNxoh3vza6EEXndMKZEaqEg/6gq+XGuS
zELfnD/maGrCi0UPyZOzhnLN+u1oOs2dK2VkjRSUQeh6IQTRxfcxGBjRl6dgQFBmD+2b1Sm1t/TN
lYizc4RSzUCxNqFc06SEjYjIQ7bo6zQUmBg78xrF2gXgZRZDUgCXoIRzUMSpUMcRpyCSM8dApZLv
7wz0c3HAVg09XSKFdSmJEvxtlidXau7q+SE3x+tqTK54HngRUOflqPQIoVWRrCJaGdRiiwWpp4Hp
bgu0fZrVHiBGHYU63Rc62zI0gBZawMoVBcsjPtVSJmhnFm2ZlA4yUdURBSAnLFQkh5yxRBtWuwLF
YSOlhzYaxJDZKyeRtMNKgSIqRaSKVbJfpHhRSaG7fJMzSmEjwiZ9jxwhxhuJ7LGUAshUbUh2l6LI
cGJMIGWSf1dl38d7VCh/XpVt0DAU/64k46v+WZKRQmJR+DCPgxGhCqq1H6sJHWcd2EGqrh/U/n+W
ZPZvEDsBErJKYHz3rVr7IcMzf2NQyL7CJHZLNiZ/SYZn278O3SjJXJbVLmJ+WzOp7GUE2c/9TZoz
sp+6wD4Tmn4Iu3ooLrpRny0vyYeqktP2ftk6I7uGPMrD6aF0JQyhdAtULl0SPU9GewtSavajtiA7
p+u3bOd8+nAmE2qhs1LLCDh2kzeGqeT8FiYJwArc8ALaC0LEjjmJ8gy/6AbZ3ePYl1p63aF7u2XY
vXPHCf19gPqCT3Koxso5DQqHjKWhRuKlhM+kpUZXQRDF1lWUzfaVWTgMW8SIaHll4cMrfSIn1eLO
gmu2CTinxnU7aUEHJK+N4oeeixhmXDo+probITJMy10cJcnMFdxcAMA6jL15Y4bEIwZ28aAu2V0v
UM6UUfWuS2OfFfUsjsFnNEQ4IjR4iyQIqFHE2ep1vHrTQw+n2zMoCBXyZ5WcIyCUfjZRVZrvzOwB
2oIUP4jwj9inHOZEKQ4j8zZ1xsskAc05K/GH7tp3eS8+VZHE6zbnRTGd7to2Uu4+/GQk5I6M/sMq
fZkNyEXpGO/UhRlNLUdteebc1Zmmb8qCCMoCyBwpR/ouIqClILDVz8cYHj8kajNH2wgCakEfnha4
/Wt4Zep8MCr9OtD73EMIzsJU6LsyZdCkOymxxPOk7+dBY0jYqx8qGwSHRRIANzPAK9YS+uu+hlF5
tFz72BquRGqioDIW99YOEBKBFt1MgfJhussmUyf2H9iqG7RmaCj9qiHfMy/k+jeovrqSyYwVk93a
K/n7GLkTW+jiiUe6I9d+sHeWLP15vK6FBja+I3O6MxOFuhGnsssYFW/8Kow0gowVelZu1JU6NaaH
KrKVOks/AsLdwxfHzN8dOt7Bru03gDvi7WSKhXukLtckZe3zYb6cavNRa7uz28V3SQcNM1bbhzyM
biSgChdav9VCS9lzaLM5i5qb2Q7uEIFdLzWw91FjVQ9UhDVMHM8+lvOrPlh2M4mMSBiU96ZWItZf
VbqdTS6pRXMzb+yRK4Rmi6RBJVMOiOihrOzLBKTapnQIKqj6wvDygcSwWown7JYfAFAOcU9cddPG
F1ZSoXRQ7SPIEG2rujCWZvZHGh8An5yuV1JBx83sdpduI54GJVI9PurDKplzENG98ZXPJIylVXnT
L5XX9fZukUgT25bowqJEVpcO9/q4FDtF8HQGsqRrs/gzm/WFy9F+MkfzVmeGuR9K2OhZo+9pEw3f
cJxTNCAitQRDYjUXYjPWyWUcWmDz05s8I7474tkeI7ZmY5Ku49y90sOi3lgZ/cRYjUymGxKP68K6
GzWZcd2oX4EuXlQje2d9swchwT0fdvQTiv4pWuWBRDbXy/P8IR87fa27/e08dyTFW/lzOYujSfg7
GWQA9oDV2GKyro3EqWw4jFDm56h+I/AM74dZ8ynH+tKb9YWlTN16SemuhuWtMfTn2nGNnasWLARc
+2rph8J3ugjfZYMIFAN2sQKN8456vt2rdncbFR0qsUrNyI8tCS+x04Sz1nipLHFLriB4GShRG4in
ow8JLvGTqiowU6jnASvomqnu57DMrk+A70WS6IM/BKW9Y4kL9F8RpEn0tbvKVTo2tJ7vjNZzYi2I
TFKD0TzHkwmEo60nVh4661i9vhkLCpjZwQCswRVI42LifYrxi4DGj80EPn4SVaRBjPs5D17yYpr8
nGy+tS4RAyBOMxIOk3fLLujCgmRZm0WwCYUx76yiqfdlJTYpbmE/sq1s4zg0fpyHy5aQ45eGnIOi
UdDpBduSkv0adoWFdYWYu7kdiUvucnczKQXR5Hi/rq1CrzYAHfagBk+ogbA454mzpU/G04Tu3AuG
eT6w7f5IsfJsIghlB500U8+s8JKmU1jsooJov2XMeW/GWdmYMjVeobhfhRD9VmY37EHUMX3XnAUB
DpS0zD0E7nJU4iWH0Ud/E6TLNWgxH2E4MQO2dVpaOj0C+eT2Zr6q+uiu0Fk8pLALN9iFgHFESgPd
t3u3arRaObCp7eSwwJo1xFRYWCCjZNFVF7NvCxbVT8t42FbVcjS64IQJyk9rxoQIfNZGUqukt9Ju
x3Zzds3k3cHtnrUBAwnbpU2FoY2DzMRx4sxrJC+MnYm+WKnq+KD16WuZKkAc4tsUx5MHs9haA3ix
Vo2oPrPF/gpzVWw6Q7R+Ewu+JSpjf8zU5wq05mro43Pg9jixNXXwx7ohgjlIj4WTq7tkSsKHOsow
LgXPFs3USuejC7nziyX8s2nAx4i6c/VtG9Ll74Gpu2ugkSmox+wBFj67vphdh64o14taqT5RChca
giqE9+kxQwzmCe5UUxk4wDTtc3JaVJjByQnmfKvG8wHFs+vXKVG+ZvGYz815KogStuY8x2ElPN7Q
Q91qR5PARaVyvsaJ9tFiggKIlszo5JPl36bty27bArlsK/7fsVQe1ESFgHvME3qV3saYnMrowDfI
eF41oLVLGnuPsF4+NU7otVZzWNqRzi3l7cnp1BNGP9PC8wwEg7ZYF58G6W8r1qC3cRLyhznAkWKc
4iaTCgFW8yAX4i2V2wsV2D6egHFR6bCzsg6LWeZeX8WXVu2sAnd81Ay+eTWV6POSY8rUamvk3bsA
YRAC3/AqTMKqnWOULh40gwvPLcKtGZF/PjvGmc3SfTMSkli1ZGsrVX1VofaAycUW1apveoVUSzsx
iT8S+RZ1Ln2pnqwtbQT7Y1TOCpVYuMFSwOxnYcEHX+E2H2oZJVoM64i6kxj6GP0b+JhCNHvbiA7j
nHxF4Fw24ehczlqyLZdt62I7dLbNXPjadHKU9C7KBla+Atwwa/AtsY1YDYmmh+/1ZjjjxhrDN8eK
T0LvG0oONeLNql9xw0kG5gitsVKH5sjH5y6cGavRvz1oFVGdFhq+tlk7OyPMdjo+hqFL/cAxquvC
anI8aQhMcHYLU1Meo6EsVQ8TYtsc2PmNkGPicXCGDfwbZb4G7/5SqGas+AIxBeADtCc+Ye6HEkPg
akrh0dJzbheXPMqmVDYK3B2/SJVxEyNkEXna+8FQPqEUXtaFM9T0/6EGTjIBrV3cjsKaNmxzvoDN
P4oYkFpO4aUEcbdxTXcf2eIVkNrVFAPLjWwJ7Ym7HHw+n5A0FSgZx0FbKQxGuE5m6kKVi63lSuP9
k+8dtXnvzghdolPdEL2XEVc7dfZ56OJLt7dPUpUKRSZ51dzZb11xggNHdVNWb9wtuFeyzEsLh5Sg
WBy6Xv1c4PJul0QFFUFsphj6K2AaUOEk+5pWYkVdM/pWUHw0Y74zwJ55mDiWTd1aJ1EDp06HddHB
vTDzctxx7p7ckTXpTAxLgTdi1w98ohOdH4ir00tF1q5a4DJNi2UFD8m20ql2XS19SevYE9FlWqEW
NecV+M292eCYcJ3hrCAbZETZXeZm8oEPh5WJBj1kjs9lqJ5NqE1ZMZyFfmkxqgPY6TeNEh4GtXwE
eLzvovi5s7v7yi1ZEy7qGuzkZNm3bEU96t7zXOsvcQXhrVU4GfNwT0jNsk/67IW/4H0kW3ubWnAd
dRV6zFx5EXk5PObLEGIwTI4TSFafaHsw5flCKMeMNMrSnqpBZW+ZXo9j8ZpWDjbJtuNJcJ8zswQ+
GT3mUM//buj/odehv/3zhn6bfRbFv1mx8EU/+nldA7uGFPs7s/FbZ/7Pfl4nixQ0pMPkypQyxJ9X
LBS0pC/82LH8rtUxXLQ6OvxH/ocNI0vbv7Ji0Sy+00/7V/p5gTdektyI5xZCfrtf+nlYsbY+9Y57
qefE2HJsLxVa7TIsrg2liPS1GcEifWFm2Vyj9S6sQz4QBLUM7slK3FNTuCRU5+lbyqBxplgY9C7c
zEIwWaqMbMq9xlj2xWTU635wr2lTvyTN1LMbPMy9vlWwV4RtTK9Sb1VsFw72i6lSdkqcvZkNfh87
KU9hMl6n0rFhdY1Pv7cjY3yn0u5iTBo9XD9gorF7oEk661RAsfSBjNIR0qvzbpYekULR3hJMIxMW
433j2E+YXvZLM75zHl44LoBeaVyynl1c4Z10oTD0/2xmx0+lPyWRTpVUelYWhqNIAgpPH7Rdja1l
kP6WUTpdUkNpCJjC/aIaDr8tenq/LZdHJgYXpETIjDGcM4300OiMBCKBQ83ow00jfTZaQ5ZbgvXG
wYLDjoo0Q+nKgWn5nGPTQRpP1V9ewupFn5QH5iaXnh48jPtRunzcGMuIhrrCV0cZFiXdQJUUmdP7
5h7mTeQT83Vupvs2BCcT6cnHnA/OSpX+IrjzLFdQJBjh/FroPQZvTfvqdOWgYU5CYn1KpFspkL6l
4ZuDSXqZSulqmqW/acLotGB4ypVifOL9PHbmy5KD4yVsFkIJRpnkgG37dpTOqWZMk9ZHhFBHJ0Uv
eq6xOA1J/8uyMoIj0qUufJLQtPdZ6whO/CHaxo6DJCUPa/cCuWJ0sNNy2OKmR5bJM6CuhYr5nuRV
9zbAM+R62axNrEBKxgGDOYst43uR+Vk/hVsNqSZ7u6LRT+Dr+kentByS5FL16e/55rf5pgRr/Plx
ePHaxFXZvv7riSi/7seJyNKZzBbOO8cSYEFkqtg/T0T1N3KfoEp+G2LarIN/7JxtpphCY4r5O1/k
x4DT/g3qNv5iBNtC2EgY/8qBCH33jwci9Exk3CiwDVcwS/2DICVplFS3Fz26zNVFBBeRzvM8aWrk
UBUURXhVKiOYrr62XqyIJImdqxR1StWgoN5Z7PbBjUR567qxudC19SMXe2F3j63RawwmGSStrSgB
HBUrD5POGG0K4eZlup56+mQBHWI7wLaiH4i+yubXMVxe2SfhApxurNYhacBSt3qWx5f6TNuppdZ6
GkgdVRoyNxImXq3CNqyhZGeT9JrWDavskXq8h/JA+cPHfV6cjB2CIwsXOLYFnj2zB0MeokQiVWlX
5daNGMybHNmbn5J5MgfTeXGa0HcH7bUu6tvK0F8iByFVGTTjBmwYSyV9Yegbu9gRhxLEozBvEss+
DU77pOfoua0iOxGueOyjtJfbQvrnljpfQPpYgU93vGpJb4a6usdLXF0Y5A3BS+FIahyGItTYGInE
wMEEXdjrjImUpSLMToAZ14tdPdF1DF6rIVLs1eZzaZsZnqfMu2/7XYZWUHXznZZ2fmXbyWZWXE8I
sJWOrm/o2pA0E+fOX0qDoTQ4MAgK/k2AVVgVbvlQROmH7RIjKyLkNdk7YT93VimJvl0iTswt93El
qVry6jNtGJ85cdUhYu+Q6T6xJ+IGINidaBgPcKp9WGVxXGbjppodlSuFcVtRcIBXg2SIhNOxiDWv
U0eMKGWxzWJlWunkq3g4YSVT7CGx2sy3rDHGXxSvrYoNkgmjRhmDahWpzga14HDu5VTCnlunozff
d6kF6UJGeTdpf70Mg7UyjehckCNJhc1QLZn7e2Kg3/6XvfNYkttau+yr3Og5FDgHftCDzgTSZ5Zn
mQmCRVXBe4+n74XiJUXyl9Sh6KmGUrFsJs75zN5r+/2AHDSsO1BP6oYL+tGU9pPlB2tZi89pxoB+
XH4Mtb9VJpvmcr5KE+bLkdw4/jVv1gIlf3dKneR6nsyXyHTI6mCMsalHlrG6k7R7tZyOrPK4q4z4
VEDZszGb44mxH8l/QRJqgCIV+PTXSr0EeCYXo8yuGAMfyQW+7hsbcUdPBExg6RtFq164fRjDyocM
l+7KLKxD2ZtXU8TkKje7o+IwR+qrwiX1+t6OrVfmbufa7N6kn903rbWHsHuKe2SJKrMlnL5Ow+yI
1wFS3e+kffOIzQFKkjHt3DI3r/jlWdsO4VNV4+ESanYlfXFdGfqmcpJXRfHXgP6A8ocEbmZadr3E
9J1yLTxaWZs/hibL7nTC7KSoeXpUiFZcG0uX5aOjWVtZ9nnw/cRrp/RGNP5TylhxrVF0rRAV7hx7
PqV5e+4EPLtOfyae4HOrAfw3+KaDvInLyE19OjwaFcxZW+Kcdhrgfrrs9NxRndJI2/lmSnJXl8AK
OGjZJYYH4ly0YyRqkDlEwzaHsRcsGeecMZPUUC4TrrETsf3YZXBgg4IYgUVN0UD5VtstmgRcD3lR
uOWoy2uiKg4KHvdLyINFYlFkkEhIQqDR17w4rTU+zlUe3FJbpMdYj41ty5/AG1Il3QlLwW5dsnFe
BY0Ph6k323DXKprCKCjkW094SjZKDPbk32v645peLrW/vqb3RKf8zyt6+ZzvV7TxG3czWxbQfr8s
IQXQLkdF9wWIw+LW/aFpsTBVwaW3iOjDIks38d1goBm/ERL4/fL+x03Lz/pHLAxgRLXlZwC0yE39
awCbFqalCHqrvWSJGW6KIo3csciIZb5BdDwz94mc0J9NTw97NWSf3SeDZ4hWCvbbcso536dIAz1r
R9V0ha7IYFZCloNRo6wZzQobuUHExhaBP+vOla6nUcNw2Y976RI2VOQvMweJfm11nVPnpN2VPUAb
wxiacS2UKm4+WzOkSZJsEN40zIPGGoruCpxBvY2b0jmHlRruA4gjq2oY9IeqKNHIIA6oumJ5PBOC
XkQ19EewSdOGzWF+sdKkuxVmMryqJJqVyLfC4LXX63GTNmp2guZUkApd+JdY4URCyhOy4RJoQe1B
m26EJeFvdcVwTnJruAiUC27NlqwY2H8y/ZL1Z7ztzTptGY6tQ0as+9CI23s5VAzTwtz4Ys+ps+3D
dCBMG3sEqottqujarT2r4IGWNWLaqaPOkJtWxGhbdlOmOl1qVG6bBEPIRi8FM52mQd610th88jK1
u8pX0RaIEj+E44TyRZvL+Tqc5xhopuzkKwGOxrGrmmA/0Tc8aUajAQaUjLpLMoBnO+uuui75wp80
31eOKe5EE6npOsYHc9YH9gAGNLbLlCWBG0xGdDGiptk6wCS8eHbsy1wRuptVOeG+U1avQzqgL8zQ
0hNyj+ZTlxUdxMU4R0gYybOmiZS9XtgkbL64b8VYmTdkaysbHFbNtRZppctYqzgyGe+PTZMcGDDP
6OMVLktjGt8HPUx3dpkFh7GIdH622FLOEQUdhpUG30cxsWZrW2qHaqIMLANWbzo6utVo1NQrs3T8
Q1or5ieEKo/oCOVJKuDX+fH9jZLgagArzQS+rtWraQ7R+NtDvA8ihqoF6jSSq8vpNqztwe2bgaia
qBu9oJ/9TYPYMXD/PVk/TtZF7PrXJ+vd5/w/py5q/nP1GjXlnxyyy6d/P2Sd32hXUMo6UrW/Hpff
+yAMWTpHG9pXzjd8oH80QpykDp9j8wGbMfZy/n5rhPTfSA7l01C5Ox9y3n/SCPF1fp4LkTiAo9VB
A4wpwJC/mKtquTxsphUQCB+sGnmM9PDr7fuXKZr6R0rqD9p/3QE2ZfOFcIphuP2Yjf2oJcmQ1Dll
Oo0EqEL3CDu2dZLUgI2VjThfR3MgnGxqtsSJsD9QWBMyILDZDDMOpXZsHfNs1ZbT7IEkVeeuVgjx
yzq6gTOrLHX09KabAlelsJg99oFeUQ5quUtCkt6QXKjbcSTTri4C6Q2CoO061CsPSCseB7OEENWb
16RWBtuShDa3w2CzjZQglUvUd6xs8wzU4V1ez+E7TrKexVYEIghUoKp4TjrpkkMFPLLqiVLPcLLr
mardoSxlWVtWY3XTAj8iEm7ezMoihxjDJ60k323Ebgalkem7g/Gir7Y9VerQmQJCr3Lpwv6TkWj3
eGzuaoIOgrz/ZBoZOjGzQooW6UzmQbHr1SkM470IgmQv6o7x2mgeB5GCecnQNQYFe68R8ptPsmIx
HWqDLR0qlnWaWuZqmXPVkRnvnDw8daP6GpoJLJMS45Xuo2ywU/EWpkXqTo7jTYUZr1oHRRor22zT
jqOxzTV/PsK6Pva+sh2zhEouCrZZatQuKUjsFEsM+dE5GwzN85EyIrMot/Nc7/06ug2NKt3GuYEk
UUn29bx0U4g/82bE0RBmd5gnj6GGilKZVPMLWV3Neqrx8KjS3IxENdGjQEHQuaNw2bsZ2MmxrM6D
jlNPxAz8E/bjiK9ALgexcWfoRM5oo97tgAgaoFgcSbuAyE6d2nNlgucMnHrfJ+O0LVL1DQLF7wLl
4rYm4++oORn7mhDr8k3JIpMt1LJnFBic0dMrByeJBdAW9UuihPvZVC6tsB7aUNmmoU+Q5FQTcw6A
QiMoM7Nv+jzfOLF049r3GqEg7BnwfaUSKVUr3UrjD2/k1q5R+0cxIzssgQwT8PMym/25UNGNRLi6
jFS9nvmivcjJ/EPerAtgU8pn2Yg3RRn3hT6fNJADoIWYKhb2fKBCtzdGHHi1ZTxUs1iF4C16WsOu
tdsjC6cTEYbXgR+LNbwxk/QD1giBfNZwx7v1IE6IFIP1oF9V4W4ChLMO505bGWRd0dDd22PzoLOm
GYMETXQYXOt9KVfsXCdU4tERJczesIirnHvxqVTCe5DLD2AB6f2HjRWU74SXHSpHOZCiicooNg9V
7GxTYumXrDIsm4Ko0E5vb/UhPvD7HQ3cWlpH1zBpabRi6RJupFbGl0wfk92oZBLhGMPfBvpFjT1w
8mkd/eR2pEhbjVB+PExW5GBEbehWCjk5cbqMB4BMrCrJOHfgsTj16LQvnT7TsqRQTVnklObyhMGG
AYTitL1nV779ii4YCrRhflIayFJ9Y15IESXZPi0JTtadhjezlrC+69IjFQIzG2nctio8Oq2CTxT0
7EmFiI8Ahu6yMoGJNhTInAgd3gDgfjLNu5hX3q06ZXatsckPtpaaZ5+hrzfOZYQqtXjVg5iROcJ3
HjlyWHXjngl7wt9xSrbBFJwYiM84/fybpC1eu9FZxz6gqhiShq+od77Jq6yVL02XeMBjdn3cviP0
v0qNOd4EPjBTbUifZdxtQtN6WaIakesj7AcvhXuW2Tw5dPYqtqZT4yNLwzwaM/uKK/k7ifLjtqwM
N877Z9wAW1StJXCZ7qVp9U1Z8zInA0Jw6xH8wCfCHR8NgR3MGeO7MZ1OuTPs2gpegTLEj0E4EXLH
IzqO597PcMH7xBal5m3bzldGYz6PoXEp2OLbev84zPVaDMBIrbnf9DpC8xGTLq+GlyOjoxgksy42
tzSnxmpMSZtp7WgfNGPohVpOwrJh3omZV61JBXvA3Lqv+ujQ4lkACqUy/AuPlQ8kT4ny6yia210R
B4/GRM6KppJvnGkexw3u2fGs5fz2yOdONtIocsEB5RrPDgQun8jh0k4QK9s7KjrKZT+jF08+K7bi
Mh0hK2BGztj5n9U2OfC3dqOZWTeZ33gJppumVPkx9eZAmuiuNswXX6VTmNKVDrAWFKhr28a8ASID
DzQKr1V9fPfVAUrcnL8gFmQFP0dnTDTbiqRfpHSzm+TFrmeKsrOdbDoJwbhISqgt0YvpF0e1ZoAp
ZdFu8gxkWaHrwzUa1HDFuFADzFI/5WpICq5qX6nOgNogr6pjI6xg3YZjtiFb6EsEstit1EB5GkqT
9wuyF2+Cy7fSEG7/PraR5UqNvD13mOSZ8FP//Yf67E9c5D87jJagJIc5LzlodJGOLUwqrR9LEDJR
MDDnvnKJ4wcz+ZQ4r7qx/f/7Fkul9YMZbuJdbCYd30KtMAVZV115NcbXf/89fnFR/vfXQDdMbaiZ
hvbLryFlN2WDEwVXKuYZ27qagc+N98zH/v7bLOLenws2Rwc0JHUJMUS3fjVRkvI+aVbSB1cdnU2F
tKUhtVepHuiFF+2A2dTMlf4F2XxdLQtepL9uJY5v9Z9slpfP+d4/WEBnTOyVQFH/O4n53j+AZXXY
ORtIvk2qdEY73xYpS/9gEzMu1I/osMXu+0f/gDsMwx3RYSYVP/vof2Des5a33B/vlUUobtqSjBgI
LZhuucd/fttbogxUckfbi9VwvSbYbDD2hDJ1rUp3tlZvf2bWN2yqBYYpCL7TlUPW2B3KRCuS8XMk
UTCSwl101Z5VYplhP44p4rH9dBaI7LoervOhvJRaEt0jOcI5EWqzhXdjbqCshPGLxlV1Q6wqFbzq
M/oJOIL8aZUv0yKpz6AlPxrfyhjrJXJcyXDxCPK9m2fOmxgF0IhFBPWS1plN1GwkOWfiQG4ZZX8w
Q2PZRpUfS69dOgNHIyw8WrqFsW9NF356vCXltPIGFgvbPjGFNyzdhgrJ/BMkrU7sEmcyZ0/76FEm
6cyjl370LqXlK6xF9VJB7lnO5rmbmpAhqyzMu8g0aYIQHNIPLZ2RKMOkvUu0FK8aYX7p1SjNUG4r
i/+eAvDX86A7INzw8bAcGsPC2qPt1lTv4535r8l2OUf/+hFduv3VWx61f9bo//Cg4ttYHBMaByeT
U0waPyw8BYNWXLSWxUSTqSZ3w7cH1fwNPpj8r2fjIz7023MKoYrymv9lCjTJSED+yXNKtOj/eFAZ
QnAaGFJnG2oQtfDT/cQb0DBI2VYulgGCPsUaGmHJylMT+T/slE1iTTsFBfA6DrMbQFTohCPWNkOF
/2LCMpHGLVoKxIElTyiEdvRycpigJ1XMmhi4vQ4ZNpB4fCnV6jx1II+JNjxBgq09vRhWfqk90GVt
M5HFbtCmtyNWgrVRaV9MoLC0vwTzauqNo1JxD7ZvIMqsH9XReicGaNzEQ3mXoX+zBE32nJB60im0
+5lTPekdZOdIlG62COjioCzBgygbtrVklKGyGxa5ne5riNy67BB+aPGMRZY3DzgBXH/UX8oP1V78
oeCDo7jI+YqmLe67KlZL1lhCZy1KS1MUg0OsKM9m30xIm9XOWleT5vVGPqwSJb7u4gmuQQ7epGD9
2qnx761lvflIgFZ+ZOMrbS8pkvimsDCywmganA6lx1TcWSO1psjkS5w2aC2cWpLtI1h3Fv3R9Jvm
UKn5ayXDuMboGRaqh52T2tjMdHlTJSBw8tAyKJ6Se5XeAGrKtGLXo7qjqj/lmKqh+BZXJU68EzLG
aU0MuZdbzpUWlPs8LS6NwJRBG5U61oGgiidWAxiWE23a0/iTm66re6TBEAv5vb0POJcP544KfNbW
/DyPAB+jAyRa4mv4863sJYMRwmJ25dvqfWqn/SYr0bQ4ZCzqWdSSlzBU0aekwejq0WTDoRUDWVly
ulEb8gxVEydQvHhX61K9CzBM+pDSVnOtXZG/tVFGuUMeeMNkde+n8zbpO5Jm5gZySADxPrsaHZQj
o1zUPP1aR07dDOwfY4PzP4PWbRX3zIshLNqfMmXGcFE3u7EL7st8PtVDdFdn3VPUip0YSZuM07Bc
mxX26TnSOPYHA8AHctORlsfMCxUXN4qZrovf4lFf9TU/mzIFhgeDhj2rJMl8trbabLzImrV+rvqr
tkvPc+DfZkZV7iejDU6aot9F3fCaK42XNfd1J8TaqZybIIzdErB0XkLrMsUn1YkHcgbiLZQ2AqVg
dxSado6a5CXrggiVlbkB8kUjUpVuWAZsWRVz5h06fHZ8fKhqNrizOV8QoV6xRn4kl/5YNAperBGJ
rfGqlarpqn58NwfhYsx9rOrhFBriU1qpwlPltKnIYF9HiXLxVWcbZ/mlQz7L7jJ/7X20/hqsZofI
8JXWp8c05Z8J54j3q8XjnO3toDtBJj/yL2dvHDXtYBXYdBCLpXIjIpg25qzk2W2IHI79qRk8x5H0
cgPhAaOr91lpdsBunhtn2AxOz8SdH0GzX/BfnrFBEfo5ta4munXbars6KJ8mCzePzED3oJg92bK7
tUWVMr8Z0nVda09RV++HpsZF1iMit3UsHcHesrQbmYP5nOb+bPTEMZKCtvXz2t47dbkLEwuhUvIY
y+QEae/ByhkhIh67bUPdhRh1DoGKJ2r3SFt3V0e8FlnZf9EzHjWsY1Evr8Y06/bBBO06jvpdKqtj
5chb3iSHogNZF9bsdn1101tgKruufwJ56c4AozZ9o9IIDSy8xVHRVISzg7LXJ32n1ss6oNpn87Ab
AJmS+3XCdcrmdb5p+6TFKlqx1qiRgvOWtWFEZU364Kv5C5awK70y9m2tvzV6eQgLcy+08FPfRHeG
3dwbukxXhkmik0EQRm+/JjSaIsP0M2fFHsH6aWpzoLNIqxsxnEOE+BE95phqd04a0GdODMmKCsQm
cha9jzZ5WV6h4z1Glv21wfu3NhHUCn9dmxyjPGj+ZMnLJ33vH5b9g84GQQhTft3k/tA/aII1KyWL
ybL2Bx2W+Rsee9u2WOfa5keP8L19oLOwWfJaEjWrBTPkHwlTrZ9bzaV90OBRgJCDdWjig13aix+6
ZuFrLRQqy7gQpabVD/gt0wxl95QJNwyVDmEGesro3NiJBlXXHNGPDumNqmjkE2hphgmF4cG6tVSG
rZPNvbHPinp2J6sHn9AZDcU+05UD9H+cDEVazMlNgaO0xFmK1f5lHGS7Zs99mcy8cvXFhkooLJbA
KnwtLKSKcjGrggoNSedT1iM+ViePkzXDmskd8LiGwn9iLYnrlXAjDD3phxs2IeOMzFQssr1RY5Aj
KM4azXVBkG5+1pUJPDlAh0iPfAZg6UDCHoNrP+/LV0mWXAA5H2Bv5q9FmTPHiYZ1kcW7KlZ2UYSL
cazzV1WrY1azUHexXzxEgfJFngnPPRc6OIhFk+Skc7L2U/9eVPZNRsXgTP02nm9Eaz4MffPI4NLT
sV4553+bhI+VoPG3D+Knt7zt6j+RRC6f9v1RtH8DvyOp6dm1fYXtfHsUUUsay8YPPaKzcD95Tr51
CDqaSCEtVIrAFr8mhH9rETTi03TJw4jSUnx86B+08j/PyJZHcVlTCvLbFs83NenPj+KoKkFf13l3
oetdLxDnoDFWkf3/InTB4vofnQj5luhGGGFBJVP15Qf58Zkn2LsyY728qJ3hPCRhpZjrDPLavONI
MkjLbvNO3/PYznfcs8GK6Yj+GNtW8FwWsX2og8k5CiuDqGPVxngdIrTTJhSJrjkFVoNYO260l569
vU2ScdX3m1gUuttzAa1MmoGrgSJbeFFZFtIrhrQjX1ph97GKGj9/gljueIY91+i68y9Gqg8Xa2m5
9U4FWyjKJMVb6yNZXyJNlZRFInCTodCu1B5e4KlP46u6ZZKfoTlfh841ktY3oyl/z8la9Rv13mLK
muNgMRSz2EqV30IpI88hLsHJPGPM9v40Va5G7obb1AKSY/Ue2uHtXOoXIcv3TuvvUnis3qDX8TMa
6cZ1gqQ74zqtL1VjmIc0cs6lkxECPpNckyuK9q7HDTlVfqhe8rYqPdZl1YqJrOFJqm6tdS5N3lAa
Srt3g2gmIiW3HiahPKV4Z9wiDil+2zaQFgRtGS7iLXofW408W1++REv1xrzjodbRbLqmnYe3TdAr
XmeJ2nNGdXxCWANKnrzddtUkHahzpZ5g0s+3ldnah1AR4vLDJfgn417JQ/bLVIovB+bOZoxpAZz7
Za1dTXUVBJTvFwrqzwMS+7v5zloRYb1ud/kOLFPogtbcWl7t5SvjAMDGkzt//V/l2V/uvj8IaH9M
x5g704czbWMsABNWxxr181udmdPQBcx1Lr4MDlMajuskICuzHHTJ/DZxvKr3AQhKEwcovdI5sGr/
IHiNzARJzgTi0vHVCRHr/AJJ0Nk0qBo3bVuS+je/WAZtckxE6sqfx8cqxcUma4JHLW49dxzgL4kw
zrBVjqBcIMoTthv79AO67UN4cnZLmuck5Ra/iFhVlJDoqXTchjleTd0tNDLqCxXxHiwmSR76KkG2
6vasnYixJc2sry7D6GjbKoBk1GjBQzAUO6Fl525E9YpmhTEYbzTLqaD+q/Hd37/EPx8iy0QfNLdK
3YIolLAq55dDxJnl4JSYNi+E5sZbDoKUXx7LhhKFHt5gfaVXAcf199Lqz95VSzHy06v5y/f85dVU
xt6q+yRoLliLnw1IYnSNhTs31k7PunOBzGkVmMxMrIrJRoody9Dz6TTXHasSxTgVkf2kRg12vkZ5
9xOWYFV1Zt53o/rzFyOoXoAuVC7a6/L47538cScLXvXvr6D7uf38H65hOsXL5+ztf/+v0+fk7U9q
Yz7n24UsJQIcFbeU4KiyVO3HkZ32G3M6ilyowwyzdD707ULmqrbBS1rS4oPqR9387ULmgkf/yGVs
sWNadDv/aGa3yIZ+eMNxJS91ORUywhmgzqR+/Hx8YMdiilvlxlXSp8FRCbLKvxvHJK+YLETJdtDJ
9posyFiVbXB0p+ler8E+GJ1i7BI06vtsktl5GFQH02NKvONIntVKt5Z0CkzFtgFhdYijepUQMak4
sXG2Zh7ZMVU3ZgYrLACe4cz2mxH3DVtsCC4+2hC8RmFwzMfhGOfpRrH7cMUov7tt+2Yv+9F8SUcn
ZwEdOihuqFLVgqOm3A4yuK1ETmawSWADYVD9Os/qXTuLi9M4bwBdbiLNvporey9t7M+2slWK5kkJ
7PKYs4asQrDIoR7thTM8LSt7WwkZChoPQWST+GxTo+uJViIODJ4R5+01u/Ri1UfEkH7uwuWs6zl6
k7YftlBe+Jl1JiWaRqpIzclpFc6xIrJjldQSb1Z6qfDbYnAOzlWmf67D9qoFqAa12AA4QLZ7MQxE
XpeHzEosxn3EWTk2kd0zXlMuSmcmnTlZBpalJlzNmg6zrzzZdXgzDTqQ6Tbed0FOD281M5U5rcli
gSiFD2CHUxRB5nPCRgPZYbE2tHreBBMxZ0EZfiF+uV5PpTDcXExb4IOHFIT+lsjPS17q0h3aNHQJ
DfpU+qHuafV7Z07qzkxMx4MNz0LbMF32TO/KiMmCU/aqSjuSWSLcfr1V3du1DZTGSXcAA29SqMKk
j2BT6Fk4t6W1NoI8YZ0eTC9TPh/sQP/dQj9G9GnsAAqcn/W6PADGeUHJcVPZyn1fi+ehRG1Rt+E7
4Gxqp4FbD7TzJWPenLCkxr0gGrY+w9tos7FGJoUYoww2sey+TCGmFla6G6tPvkysoQoM9Qs+LjKb
195R5Qk5LlavbHF9tcBaU3dYvGD8/kBiPgxipExjFuuzmllMa1vgYjJOA5dZfc7t6/PJyfIXnzGo
rSIfWioHzMZB4j6hgkGxQWuH5qVXr2YehpsJh8E2UWzYX2hWybaXB02LtTWeeqZufM6MT+QqDhh+
WKNaMCtd/CxMuQnVExMmNi0a9xk0/pVRFdHBtseZHZkxeLAN2tUUgn9RKVgHAAi2GlzBrMBDJMVZ
wxbCTerc4OMM3CaNL5XJRSzFI6rm6a4WSvKck5EIYg4umMZAT/h16dlEo6xqU0uwkQerXgdXOOYl
eexolFGJ2bxvJMlVVo7wRgxdj4RGR8ZTwN1UpnMiGSU7hIJ3JCSsuhQkpYya17pTtgL8z6oniR0L
Bvmfhn1QbM04iCC13aKMxeLyr18kO0D0TPbgEY9iYoaieWVQDQICQ8hGKVPoQe2sfqmEfIqzjBK4
4d8O9WBv8xm8dZKkxrbI0EE1hDiyX0P9JuTy+vpmhuzJZ3YWbtNhuEQ8UQQtd4fYqW/Cgd9aVYyN
CIqjmLRtlPmtVzhYw+O5ZhTm2OsRZzxnRscrNIMmQe0LtWraZHl2ExqR7tYLDwaGzpGpJQPEUt1G
RvIMOWDbKc3dnPQ9aGEQhCE06Vwk56arMcR2GRE+Vr31y3Jnds17oPmha3B5uCAFeWDxjMizPWb3
WROnJyfsr3P+oigqgNtlBWV2ALESRfYj44jNoJfHzrffxkKKVVpkB9oKtLxi3FogYP6tEL5WCNRo
f1chNM3bn+3f+axvNQKd+bKzo3HXEET87OxGv7v8b5ZhOKt/3L8TtUBJsRDeqPqNr8vAbzWCQxy6
ZfIVKRSYshGz+g+a9mUN+EuNwNBA6mCt6aRVZgS/1Ah95ywZu+ZwNTGPsryw99GDdRZwhmCiFk6l
f2znBKHOFPd98kl0Ao0bi8Ko3ZdzpBIlaDIwbiZnmL14lO0M1bXMC7ikORKUL8hzLSisZe3P5DUz
0gYuVu9GUwTOu6Nmor2bmqapN0h4dN/1p3l23LQsBhNPk7KsuCsT2yD42mQAdzIXQofc2AWj8DIZ
1LOnLys9ep8PWX2CkFEl6Wlb94FuPKQCWu0GQuUemQAHTm7q7a5U+mk3alMXvw+aPW6CGHOCFwRx
1noQg1Vm9GNwUHw7fY0we9MeD0LBWzT1npJixeiXREsnpJ9RMzSEDOiM197AHzHPmbZt1Yl+yqjI
CTOm8N0cFMIecvudSkdftRmNt1XyMZDtLO76DtCDVQzHMADjYi+HahBlckVeDsz4WmFMZ1kJp3Sb
QFQjdGVVq4rKWJLVHTmd6s6ukVuzhs0/C3txHcxFcChrJb3W6RVXrCKdrV3mb4k1G1stJfwU5Z++
bYo28tRmydQOCJTXjS69ZufQrEkBJTipl6usqgbPVgoqOFt7C+FO7JhD8rZYMkgzhMMeemhyPU3l
tUxgK5tz2q25Xe1tSFKshUcNbgYlkpVR+CGIhM2ZttLaFkXWENesxq5UwvjMz5xhGDOLQzL064jw
R5eamSPfGqYbx/GN7eBg3mwWcC8sP9hEtW6vhs4H6THX/Ji29pTmCariirDXutZVNIXgogqGQau2
BHzSFVq8BRVY3QRgk3HRDu2NFVGRzJOoQM9ME2b3QqabWXVGr+mZxoAyKb1RWESGZwA+/TFPdiKF
DYKMI9v9e2x+PTZpt//m2Cya//yfPHhL35o/6a/41O9nJ9olGivaEMnM+SfKJQYzJprLfOYjanqx
pX3rrzA4cKiaf5gf/tAuyQ9ZE8eqAd0Q/Pg/0kQsI4I/2vmlS8NEsbR9SyQOiLzl4z/MIZkoUm7k
TnzpMBgbrOTDrV49/vCH+bOZwS/xNV+/C6kHBpsWHe+6sQwyfvguFZGjKJSM+NIWcZS6ha0Se+xA
nUDvIBMv1lhBFtS25OfYOTLjEHHG7B972o9btQxv0gj0sBFGp0FV6Z2Egvjc7tJVKiJ1rQbhfpDZ
vutDtovOruzESZ2HmwYZZTUXx5GVOYqsgxonixgbBEOsVs7GWo4XIhkmGjfnd7JFBiajGR9siauB
mPAeMbmCQWnCyCC6AQ67z+ePFsxeZAm+eRiUOdv6w2i5rUKIbuwwFwRLza2RtDmxZVL/5GuOtbVS
Q3uRGZxOVpYUYmoSml7YVWXqFRPKkoLAGGhTACV3gQMXjvUjsB8qS/tiTs1EqQPaDvYECYerVis1
+9MsK6KBK5lua2U2ja0ohnGu1rg/VLLpOyNrJx+Go6Fc2ai5z3z90m0iXBPK2B0LJd/aVFuu2dGT
YEWDg2jZ0U5L9eTQfUyM+X5Mj42PSbL8mCoHzJeLr5NmgeC5WsbPTm1ah57S8Jn0Jv2RbS2qNybY
d/rH7NrG30daiDQGZtrcyKQPD43zUBQ2AFI0Xx5czGVfjMU97QBmMqyc9r00+ovTdZbX8jc/gXlr
Pjc02uMECGgabblyqmivEA7ioRNkRwVK/XbuqXmJxPacQji3uN+IHImhTdqTg2OyJN5wTJh9FwI9
XvSIQbw/8dL1rllFs1e3LLcQrlMEpGN0MCGsexYtw7ZtU7HOHV+/NGHPdneqmq2p9TsMFpYbjrK5
CSjyuWGyc5SnZ7hz+Saroxu9MMjF7GLXN9NdEYEmDzT1mo39Ha6I/iHoR/u9UEdmA4lrDqP5XkSd
a2SNy6BQ3KtKtwnMFrZ5kXiOkm0Sm4p9pHNpzPL3pmkRadVvUzx9YhXm1lp/cJAXM4VZWfq81Ufi
Kplgaw5uZkMydmPGW/evqtHRwiubdBDcPwAau+kLRBLurS++2gl3MFN0HRYE5sTonw0zek1nU/fM
JmkOdG+LAH0+kcS+1wJ5NtEaDV3yXPLyNa1GTW9bnt+bG8jau06dn0e/8VCny1WlVisN5CWQ61zd
A9yJXTHRDFjWNb/jrQGf2h2jOaBXx12g92p0DnUTWJcvb9qUFM+hao+BHHkzt2KbViMgAZ+70c6m
o8NDpKIhkk5NpqR9skvtpI/FozK368Sw7sBA3DBFPGFPXffSOWVdfxM6TApk6UkfWiyzcZbzCfHK
4VCuu7oooEmol0RJXopEvGCFOqAqORapfYg7cTMPLCLg/BVpejb0eF2l1XT8v+ydx3IbSddt3+XO
S1HeDO4EBUsQBOhFTSookirvs+zT/yupT90kWy2F5j3p6AiJKgJIZJ48Z++1Z8ehFqNIcKFW1qmz
7Ty0Bw230miU9vLhzC3naVfPRXEGd/U5nwI68Pi8l1MIitwajXRTe9UmwAdzNU9Kvf71zvuTeEXN
RVcHMVmlf4aW/sP+Hk0a5nU7A+JVp/qqzzxi2/spXRJllZ2L3MB31gMPKKOcqml+0aq6vazrVL1x
gWcsynG86prkXB2DZeo5aNHEpo7sb0hgwmVVEcsM9Z+QBpkKOrOmsyAGdmi1/kBBSvcZE7Hjii2k
uK/QczsfR/2dTuTjqtcEkHY1JV2r8Ifab8cdYyW6E0Gx0ZJmo5s9CUflps2hcmT5deckZx0UxbnN
zuoOpE1VnuPB8DZimACDTfFWx/7gt0Du7QDCWGQmm5Bzadmq7ZU5dZpPtu+ZGnl8r9GvngdCE7RR
xlsEKCaaLNo/+qQfTaQbgMUI1h3j9NBX80XUJrt0sDbWIOJlnNW7oEjJCHaZVeQuen/gxlZYnWch
Ciun0I8x6pSsy7ecaxD/KwCw5dSuy6Q5pkl2ZTo4Mfqih2xRKLGP2GgRNM0pNtp+mRNoTP2X3KJn
wSg2xo+EmexjOWsYWaAuDbA0rSWwc6NVuSQbPCT5tMwNGPeAEwb2IaMtn0vPOVdrFXSEpzwHmj0v
KmwuXMRHYl1zbadUci8T57Fjf9bVbK2qE0xXWicEy2p+0k4pVvLwiFpLWwLFkjzmxN3C/OzuEFoN
e6bvzSGjkt39eql+nFZRiNhECLkOI1yD0caHEoGmxIB1PIedicXISM4avfuNCfO9zOJ1DsU1kR6o
BTjUdaW+/G0RYthzgQk0DC8yjHyKfYy7eBtXV82QsBIyP7ZrbGmrX78qLqDvCqx/PlW+7jelT1el
ojINRTmoU3Ft6TrNav6HU/Ezt7tJ6sYSH6fnvR0Yu76DE96PaOmyYpDg0bj0sV1+LhXnPBam6re5
1CcO2lc3wuKSq8ktWqZhGabT3snMBztIxzMtM+yO1VSUq252ipVbKfVSq3qi5opp2nWjY3wtCzK6
aGIbqziOnzLW6qpW7WjJDjwthWurPlfq686UwkIlvaVzpe/y0GDMLJ5pCm05lG7aplnb7dAudCvZ
Gmqk0GimQsmGothMc6f6NQBXjHMWVyiQPtAtAKbHQHqMEC6LN+1Z9N/qdtAXbRUTzEYK2WDejHNy
b6rpmSVKGqaSlxUHBjZ3QQih3Vm7dE72dIaXxRToSyNTVQ6YlF1Wve9VVG5xkh/caNwUzbDqg5kV
rK5SEeYY3iumuFhCqzlxl00WHCq4yqHlbLUSfaAbjtco4SngKuWmE+DDDUOo/uyIDaNpFFxd+WiH
9aFR88sagT4udea42llvgV7sLWPr0FxcVpp2W0zRdgwg//ZNd1HZnJGwynfc617cWu18JLALQCqb
sDLPHUR4v1luv1vj3CjerrbBpMTQQbcdkvPiFF4oa6R1dwQB7tBhnrscPf6TPjDs1Q7Fl+H7hO1f
B700bd7eJX4sdZRCiKzQT3gfxBMo9N0iBWV2qJYYTM91v1p3KIf3yr2zJhfr9qj45/f9iti3/pH/
ZBfTubo4i9fBhUEi1m9+m/cXm++/jIG0wnINm2uU9cGTMakDPW58sBfkk1VGtojV+6b/fvX911f8
fs/65zM+TNhnRLJKFGURh+tLCB5ruvz1x/nT14BcnvE5fTRaXO8/zXxEDEq8C4e3cqqB6jQWNef3
Heo/0aBM0Pr36/vh8fnlZ1Il+VN/3dxJ/2JDtsxXqwBTyDdmBnwO2MNMlxsbEA5AbH/d3J1PyB3w
M5gcNcj6pAXiR9fT/kT4H/YDfsAA5PZnk9GPTAEmoy7IGmREaDtUR3XlL/H2y66o2tTqQguPAfwp
R0KcRUvKcgbXmfjO+wrOczUKbzlDfnYkArrIQ47ubosy68WUkOjBs9gZB8KynWyPtgJNhJccClAy
Sw3GtNyvF0Jip13400RewUaMscKbcfWkdYS5C7e7EF2IC7t/sKFYa9CsLYm1jsPoi+1lS4XLwx1H
ubotqN7CfAh8JyB9lF+7XHeQsssYZHao6Q/g4sg0lThtsL702xTbXBO+8Y0IyhfsTYBsmWeu3DIh
qBYyd5lGl2DKH2eI3YqkcXoS4l1a3OhSuN6WBHx3gHThzJNP1jrlVxcKeAQNPLdUSN4DL7GTqPC2
0k4K7PAkI74VlngioeIJYmtuzPrJSpKTWhjjIo4z4Q8SRp5RXWxsE3Nz3w5PULFhyWhYGNLIpQUX
Wegf1eSm76cT2keg1Kog1NXInPMh965beOh5rl22xdCsk4yMAQVmegQ7PRLjviqJF3CwfkoX6y7U
Kqz7JTMadIrlouwsKMlx6y6JGZlvCeQotl5pdYT6OAljURDu+NOSNeE8z7SHp7Owjwg9LVRmZRL+
bgyusqrgwds1XHjTrRjVBMHlJKHxUS289RRymnpZ7i1CCZcvJGa+tJVNCXdeiR2K2PoLflVw1KEh
u+ERl9PQAXsMt96RAHsTqjwo+wAgfj2vHAfMPXXxk/AiuPoSgQ9GJ19lEos/wsfP4OTbYVMd4rSC
ohwC0Yf/s05isPoqfP040MSql8h9Xa+vuPhFS4fR+jKRYH7sxNaFKmH9DQprP+zmp65RjUXVki/c
Sbh/IjH/nQT+xwno/3lyDwxfvaU72i8NFLpV42kXxSAKtHYsZe50I2b0GBR9SF8K18B1QdJA70i1
P3eoRes62Va0Y+a34UCALxEFAbc+R4YWDDnSW/QDzFRlpEFNtgHa8pHEiczcAit9gHfwldvOxpGB
CPrYHpRcAaUPxmNhkpowk55AxhmypcGpyTFrPQQx0yzMM1zYmkWBbnFjHRu05MZAdkR0P4Z85/XU
LWmedCoCiHE9GcI4OUP+MBRVC7U7ZqTQEoNVW9PdyH2bmxGDujFWACUBFC9L3AZpWkIG7YbNkCES
jsuC+whSCC0K7X1T03yuXfK1AE3fgKc4NnYFJsNrQYQU32JRX+tGtCt0d9+7JHiIZD/P0Ubn4hwp
0UFNmO2XE01tE5DbLm/MK7XEyK/x767rUdu7Bl0fLoO70oFLQu/tYfDCbTuYewYE3+Cordt0kluT
uSqDfDorlelRl0VejYd8UY9iWMRTb5/Fs1i7YzjCnEwcIe6LsO7L9RhV5uwTKFBeG0PX3nGVHehM
6GABbLXtm62BGelLmJbWmWihaZwIagvdnagV80sQYlo5JCT2bnJgfsvOC+41OhNoE3WWRhBmq4D1
sjVLiA9DwvB0YN2trIpLP6vwoYOyMacMQWgTbiN7DmAUMtQc4hADexlcuvN8HItO+HM+zz6SllNm
h5TZGjtcXsVsTynwlS5MvoWNc9nYiEcgca4nvKHbbEozUlmcK3o89BP6u9qCFM63eOMG+C09dFa1
Op88M9536WT5VaU+QlAElVsM8L/yKw06Cv6QoN3WmRKz1oLjlKq6Pwkie5UwIVeIaVG6KyQtvjWK
R6fso5WhQ5J3QMrHafJVBzGPy+3riAeoAH+ymIHQByY0evpxKXNzLFjjeYEaFSSKiyChmDfctjZK
7x6hR8TrHsi9Dex+zgUXauj3Dhh8jYJtoUkyfiYZ+U4+kN+HmjKS/PxGkvQLA1YEmSSkG+sxblQc
qxPgfaNXNT8fmHvoQPnjhIzzrHHOg6o+lZLbD3iMbjNKjDrSL0zJ9rdCEi2aBto/2H8AEqcyry8U
AOx+qdrIbPunRCYFDGO2H2R2AHeyfVDN91btMpOJj5NMGdCJG6hk7kCXVOvYUwk+cL+AMoo3xBeE
vq2U2qJDYVTAy/LxqpE/hvOG1hSQTYMZvvli916zHmTygQGCJJFZCEhpbP7iuG6ISTBlXkIXA6CI
iVDAOcb+jIYn7UmcUeJr8NKPdefsdKZCKfDiniyG1OCjVqEyNwA/2W5wnWnhS+J5W4sch1LhTwOS
HUQP452kh1yPNq9l1H/1pLSP/6qebOKfDdH5oR/l5KvQDhcKTY5X6C9/9EP5riO00+FD2ZaHNAqD
yt/lJBlpuor8DtiV9z953o9y0vkk3e0mJg86GibDlT8ZoqOae3d9k0I7Ugs822SQzm/BP/i+nHSZ
NUmY1HwEQnFXG9Q7Ga0KjHc1/YM5X7u1vYEpsrMmhSaFd5eX7MVqN/It9+ybxDUPRil2eZIg6HWD
duk4ZFytYrqrt1npwSPU1ctQKZqdYCMklCdLlK86mg5m2prRAw8N+nz0LWkPtDMn2baCMy/vku5S
Ra9DIoN9PaTyrk7MFOQOJqGFsawivJL1WN5Mk3JXWsWtQUm0UHX2ZLWhvlAmkjLdM4CbS3KLnpoZ
ZE+KUzXEr1Yl+olt4U7v22IZCb5ZgZBdvyalbii+TQ3AvojoXHAi4RLrIlQTfTwKELF1RrFg9QYB
z2X0XA/5vBQqLWxvdFehKsg9KSMNN7HtQM9TzGk3jKXio2zaa51zNEiU7bRoP2OdhRvgoMyK6JHr
/b7pq/tI9R4U0yGJIzMu0bavhJXfpTFwvCaZbwUc4r7TqgstGDgrym+6ih65ia+8TlakhKpWYY4/
bcJZChi27L+pDSUpjmLH1w2jQ5yFbEdRsMQZWYqFVKl8I7J9DLj6MtDpUFhc4486WgEmyzXtKAFm
gxhdX0hifJkwdMnRB6zcNJ39YiTHEoXyUzSFZ4WBGE8EUOQJkvMLV2fHMrZd1xyDrKHKorcEDbKp
KzQMdpdvhJVxoSBrZmeIxm9b6yBG/LVGCVQ1Kvq1qQZfU6graTYSVtZR+BXjY2iDneHfhDfs0YyH
jjVEyKoiQ3lUmzDxmx5AlJbSXEZOOaWpe0DGCqhIJbJM7yKb9GFjW5Fjfw1gxbzQBU48TQ+ZLjmk
CSNT3oKFmgmpyUyOITAyVOsberVinbH+8Xq6bKrmTqnbOwa0W7XT74ZeaH4YtepStLpGL0NPzhGP
UN6BaVxFFmTYoCdvrRiB8ximEmwmTVMvqtHQL2Nd1qdpv/HMiv5XeJanLXbZWn+krWEhxJviI9p+
4uRAXU5uvu4ELgV0E5lvDcXXqS3Xeh9/LkNyATyRrkJCgqEPTXg1TNJ1xvz77v6vHY8PHQkp4Ge3
wY0PaUPCNT5cOStjJAYA9+Uxy29T89nCb/27RvBPHoGuHT+eitJIZXjxfhuaqnBsk9g2j2n7tUtP
U3VTeOf/nVGvkgU4Jr84o75DHJrisXmOf5bNKX/6x2GlmZ80QyNC03Ot7+CFvw4rjXNH1enWq47k
4qicIz9UCxZ/gt2Dg4oP0KYF+HfvwyB+ndYH/Yr/WS3/5LDiTPxwWLEC5bHnIPmyODrVD603j+E2
KFXo3krq6mzFCJ9caOM7u5/qL31jcFMS2DnAxE+K4/hhSpw3wpq6TW6nJE1WHkwxrEAM6ZdMCUMm
i1RX/eU4uOX02GmmJienYEw6nblwn+jMvInkkxlOlPNM+B2tnnfI1Zuw3QiEjdG1K7iQNBYbIIYj
hx7DHM7JTU4a0i2MvkT3Myb8eCXdHM1qkkTrCgHAXIqsxQgZV4vM6py7QusJ1cLV3t9VuScl3SSy
Tb5ZAIvyyQYtfNTd7slI++rByOvkQbEqawsCBwqg1mfBEddd6C4yN4kPxK25HZlec45MPLYD3yt1
+JFq7udG0h1UxckvHLvor3JIKtSLqW4i3Cz6bUdIJfj+2v2iFzmboSe8csbW39nI1tzYcvxEy5wr
hUzzGfFqHm8pt+enXFeMZUQiaFv4k1pbDdB5otcAXJlGR4SF2xtiYzV8IO0yHpX+QRCgrEEsRgpl
JloHvTj5zjLGTC3Jxoj5UNJtvdDlr01VE24cVcyXbdNDvPGK9tKDt0MXBXDQImvN6Aa+/oVntNVA
cgHv5qnAzYcsrlWp1sNXvA7HOagdV1J30qzVb0avy9C22lJhMRRqnG3VV/EFzh2EGDWYixF1e2wO
L/bghi+e1HN0wgjWWRwh9CBoGzCUVH/kSuMsARu3n1HZVw0pqsD37Vl8n2H9V13LL/gvquuX4rl8
+ummJX/wx6ZFhQ2Hie+hzun2agX9a9PSTdnLxaRMNA4Hixwv/m/TMtVPKscMNS8nKiQoaUD5UWED
AGd+oKoQW3XrTzYsy+ZfeSO0Yv6gWoYOspYiG5MpW9P7Y83BrOGi9lSOmgIVRRB+oJrzSzAgmkkt
coA7Q10jkFg3U5hnQEur5sprcuVSd3rFoDopC+cqpOnjYq6YiLtpteaeHo8zPVkK8Qc2Sezw6dCF
J4T1ACtz503YDvwfN4gNsUgwkaSmHKf4uOorxVs3CM5htKpPYY0GvdbHal1KXfrQoZAHhEcCQMnf
NaR+nb2h+VK9atqlun2OeutsKJyzJGnIzkSbSnQSczxE8Z1O7O+oA7aXenlqNJSgsv5CSj9JTX3u
WCs4//2FK/X2eQOP05Ma/GbCADJJXX6TMlorEbwYk5euXISzC13q+Ge0CroY2xNGTmIPJpE9kGEx
XWvafWySG9wq6UVch9GSS85lMguizzENTCoJJC6MB4LDn9qYaDyXW4spiIN1pefAke4DQTbdWfHq
SJDeBLpO6qp9NSwAyQTlIl0MYColzxNngyk9DhZmB/JtDV8Q8VZLH0Tal+PlLL0RRWumlyN2iVL6
JjzpoAAzyQ+l8xyvIdXh5PGNIsOPJG0XjTRgzK9ejHE03SWNRhwaSYRfHo5OFVyTDl1t+tcAIBZ2
sSuavieTAO9EYCvugd2J4b7wgkNq88PFQYOaeMl++pBFFvF3hf0YNggGhpamEhfKh5TTYhWI6pvq
kZkklPA8C6IcysB0zGhS+tGUf4tma8mkVhxBnU44k02QuI2bEo+IGVnp7V3T186ZblH/9wnHWoLd
QM/zjRnxH6+hSzZanbswJ0kriztYA9ZC6B0Y3qYfdPPQW5VyNgHa1UpEvSfLauk+NXT3VPikluHr
LSDzCirpOfZ8WvUstCPKVnvd1Fa9t02yGJSypDfN/BitSbcBlP9FFuxC5fIx4ew5G0YYRlkfamvL
DFzysfO1knvPutKS55Vfll13GyjGoa0cpAa6Ul0QKD3tdIkdC8t5q1hcfHIuKTdqEgQr130RcFfj
DE2G6ZxPUemtnCTa1OO0sunA8ZqP7lScW3n+Ze6VvaXF53lE/yburOBQuLRkc7sy1l0UXkfTGO6I
Ad01Sb9Naz4kNyLSYyD3S0mcYEFf9zHsBr6Bdnwc+5K8xILxnyL63Hc9sj3tbOcJa+U2zWPeoCZG
sIRR45vtxGwt+ZpwnnWV1r7acz8IdW66XBqiKtk5wPtJDvcHjZivSDCap8V162bqUTe7Wyoil0Xq
lTYTJc8+w1/7raq1K2vudk7nLg1o0gBNDTD5AGiV1EdM/xjZxsZu+lUbovNKLPfUpsWVW+rPXsp3
OM+MF+FNV6ZCtmJeV4cJDLSSmn7FZ4ymBPsVQhzEM35PoCn6ofwJPfPNINejliY7bKOnuRyPuUtb
ETRNMJZbJy99NlLyQSz1kpBdsgUnX0dmVQTdUgFXBEZjQ+bL1kHHkFfJ1m7HtWJJeZIeP9nURJlS
bRUcUWnkUFeURwA27qpQyw25CYhBuvCkCww6fbgdVXeZl8o545z1lMW023Q4siM8ofwbTgk/wJ5O
g8YPRPbSZC9l0F2RE8mKVEks5gI2kMNNQ7+dgfmbPIOLrhkQoWi6162w1yaoGiscr8zRu8mSWV+S
HIkVZlA3udn4XuCxAgNCYR11DZX028QomB1uzbzLb0lNtl2sY1ird9y8t+PcfFY1QVKKe23b1Wc3
aq9CsFFd/lxM1UutqggtR23hGPE6tqt1GxC9G5orMuv90IgujSY6lL1xhbv6m6YQHd6AzR4I7FHV
reL1W7dV1mqUXSdEKwpLuyWhaOEEZD3YVrUKFHIA1G7NV/Gi9dy1ZrRnRgBme6xXkHhHUozaJebg
goQJ/Yks+8/8Uwz4YHdMUHfIvsNl70SDT2LFY1u0tA+UPSH1u1lxUMkCMeqbdB0pHBKwhWuSMyfa
ALaz0QUpkV3xRWBrnCoHdpGDQQB7YSmabeFaO3XMoSxbHrKy/vPQqPdlk1yVika/eiQ0puO981Zh
IbaOsFidDrSS/hJw4r5CCkYxfp3FztYdg2Mg0/3M/KwPNCg/yDiKLl7n2XSqAtn6HTC0u5dJ450b
2vhQ2Uj8GropuufeBo1N0doei9a6wqSnwgZrrzvuzn3FwKWZiV+ysvPMCskxqNXFwCSykRvVXH6e
UrHXG2tTVRHf7MFPjMFvB9lWhCFVFbdNNZ1perlXdGI9CXoNvmJ4ya5bDAD+rIuzhpHePAx0cVIO
nuSZuc5tInJ6xujZFp4jHqTvXQeYkpSYNWPt2c7pVIj6c9pEOwC3R/ZbjBZNSuuv3VtzzPeS5F5/
VrWHyGqrtWekN3kjCPQY001qaKckdRMsc3R5ysFYoznfBqntD7qSr2KYvz1SbyccCAKcdJk5SOpi
cWI8tUmC8WwspudKQRpMtKogoURSZfgGtEzzemfVdSEsaQV/OxVCKrjbZBwS+Gy3veI+9721Bk68
CXtnHYPEpwPD/tMyzwjHeT3mxX4S4b4R1g1TYs4aQaogPnQRpz7pq8pZoZusdTr08McbrdxlijjM
JJ21TfWE3g+lY+sBkwG+bNJ+ylWOvzcl7U9k8v9sfFhIZ3SbiaEUz3xUrIihaQDYF8pRzRlZposy
vVJo/f/6IVJG97fe/3sZij6HBpOBI9HQPzRwmLar4AQ05Ti6XxvGft3DWGLRAx//u8yDnxW8b58k
f5M3wrcyKCdtDniS7l5EJqlHDtTCGZjeXdJ9iUv7N9Knn757fJswGKDroZX+/nE6U0w3yMrw1Ctf
RLevw6cie/r1e/ezV0S1TLEsmyKwmt4/IrCxs3pTFZ16E4fyppumVUa8bB5uYjrFuvgNwOMnr8jU
PC4tdFJohX3kNcvJtz6pIj7Bv1rEBkYgGdDwm9f0QcIkryXvHiL//M2n1AaKAG7GQxJ6JaI55wa+
/PW79ruXIf/8zRN6MYu+wVB8YtJvI2RNy5sA1cCvH0Jj6eOyfvcyPnw0VTqlVZ+38WlUCBy1fC8+
QdJlg3uwUAS3R71rf/PEn70sFCd4pKET0NP60KZMgQLFRaLFJ6e+BOrtV9nO+UNi9+uHg3/SNmF7
6NguP7x1AYHwtts3yaloo1VOQjJo9iG7/fO3DhgTDWSyiMC2fnhIOUSOE8dgupvqobDPI26KCZuB
F1wn3d5EAjAEl79+olxTH/Ygtri/n/jhw0LyikRem1DW0NgHwwVg4jebgWRgvHmE9JRammNiccBf
ReTKRzVxW5qYG0ctPyXnzJt2HJ4HIAIr6zK6svxiFa9dX1n/+lW9f+TrzvruVX3Y79BM5SN+veTU
22hiiRDUwRHr5fbXT/n5e2fylnByWiB13n+b7FmzHYHw9xTUnq8jonDFb947+e5//HRQvLHaAMZL
cND7J1Sg5tCVAXJ1uPpOrk61+SU2SXBPkt+8lp+9Y2+fZLx/EjfisiGZMDlp1kvkXlrBdT3/Znv7
+SPg+mkeHjssx+8fEWtp75pzmJ6K4mghRh2Jb9E7+zeH6s92HxbbX0/58NGnTU9yBgk0pzh9yhS0
/8oKHqWVdn4qTkq6yazffEb/eFn4nOEog23hKGJU+0HcSjyWQ/5ymZ1Ev6mbL4O9querP1xoHx7x
ocFe9CFvaFRnp2EuFpoSLqfE+s3b9o+1/PoIqZLEhkg+0odXkYwjqTLctE5t9qTMO7I+f/OAfyxl
HkCILvMqi8YbUuD3nz5bpwPwac5P1Hl5h9Qx2cW41wrv5fW9+q8rq+tvFs0/2EKHl+bp5Zn26ytv
aPf8//8fhB6DcQw/9VdLlu6qRXeVIRKeC1vi+f8SPWifdJMxkkc/lF3rTUvWwDJLJSyhYRrdOr68
f7dk0dAygnQAAhlQr8AT/UlbFuEtS+Dv3e5VQ+uQ76CBL6BmND8W3Yai0wup0/SoqaZozjwRV6of
97mpoItLHWbsNqG8PhTsmmjBdNlhNEX3vR13OyjBm0KKJ2ULSrh3dHXA8cX9jWaYzV4difn+HEg9
lS0AxkwUrj758oitUtSGOPW3lW5hO0GSVabTcVSynnpFfwxYyD5O9X2FjKuwR+wTCLtGBF4ktc/r
zh3vEL0+25VzVRkl/4AxV9twtJAFuOXWbL1Lpk3f+hJ8dp7k9JA0VGXVINLbAKEZQYZk7JL55Kej
dnQRow05EYS21KeFUqk2Nu62tyuM6emwlck4plS1DeXUrXqpdCvLul9RTCTbygCw5zUOKVNlgHCt
jj53aS2WhVWRupMSYTpXhJkaMta0e004HWTYKXN3rsA1ZlVILTIOdZTBqFEEZS2VYamtjE0F+BRe
OYIoVVuGqpYyXhUIqHWMEVf7oUb46kQKay3jWImLL5GxEdFq1/g1GhnbGr0muIJxAzZCqmvgEe9a
yKBXaDrYn3rCXxEbkAObyEjYgJHO3q0abn65N7Uhv0NRx2emo9jazkvpLK/1QUYYOan2VasNc9l1
ysKpk+QQQUAEUIIUWqLBwc8szHBeq1Z+aYJhGYheKhniNekLuuv7uk3PSxVBbu4Mmwy9nU8+xaHx
lAMUcBYSvEOrggofFWeV3jzoSnqeDPh2az2/McJoWInIfTKRtemhc8FoDgVhJJwUlfIEJdowegOk
kBUl8wEeB+FARIGmFRxVwyQcLJ2iXZcznRwDug6jrburfA6f5pFtN1BLcrY8OqQlVBrcOUVEu9d6
ovPcAHBTUx8oBjFUUPQ6TSydfLoNRzEuQbla9Mn6xJ8mWveAsS6EPeRLV7WQLIZMOlUQq2PM34RZ
tIhotThcoPxUlTp1y0t9dzb7DfPPfqmOKlh+Yi/SBn3vVGE9VVWxt+Ox9+nC6qtYYuFV+PC2BMUH
EOMHian1JEQ+KFpnUcOz8GIJp1KBzbdQ5/MgfAahnvl8u3whwfSJJNRLVP3U0wxXUeB0EmNfSqA9
DQtv7bL0VQm7L9RGwPqCTQ7lgoYwatPEKdOzQlLx/zs/vp8ElHS/mOrhRqSe+8fxwQ/9OD5ewTMu
13q5NTO844/eHB9o6WAqkOXwOrj7e6KnQatxsBBa+F2RI1A9/W+g94qkgfSMno6pEmGTfySZk/y7
94cH/FaX7GCNIFZ8IK/YgzdX27qsUWhGSXSqOzrfW7K8UHBazlGDG8JyD1/ZL6CPJQimq8Bz4CmQ
hJgJ91izJqEQcszwSpEhnHYLK8UIHvEdJ+pqGIpM2TOthNsMwHIi0gVXV3gy4U/mKHzNqOp9rdNH
atrZmrPYz1ovkLSSwjHwY0w2em92NY+GfjN1zozFMSa4zkEKTX5tYikLY8TPv63Dxktg0LWcAfWQ
NccQtTatBmManFXoothepC5E/Fl0youFxmjz39L/LsVh1f370pdSnGX8Ev4sToUf/Gv5259UFw6R
rKBeh9B/L39UOJaHX9Vgibu0H6htf6hwjE/UNTQm3iSt/Bho659oXBkSAUQb60/zVKhbPnwBHP4x
dKvgy000JlxI3hfYMTKWNsqEccDcC/bL4vgPWXe2lRL0ixpD97V+djhxTbXSUXIX0CG6MliGUUHi
Q5c4j2kk/Re1H6r1l8TJNO00aC2N26SfKnwzfeEdAQvOZ6HRZfGuFpN+w5hdsXZaqzbKwvMUccwD
IzhLJ1vFWkFxpV3HjpeZe/Q3WfvkFaE9HBqjwjxHEMumt4vsJejreFkWccco3nS7ZKMmrrb2ajfu
r0Q9iZ2Z6Rw22BnSeQV8tvsym1A4OPIjda9jB8AcQUCjXxQDiXkjI7mmbsSqU6d4b4nJPA+CuSLd
gAnOY9cWkYcXPhjA3JnoV1PiX0+Rbj2irv3ipOFTYmOLYT/L/cq2XiqRv9iQLBjC57X5TJ/eB5fi
63U47IpZtdYiVTqufLhoe12NY39Isbe7HjZmsKDuvabE1dJLh+BpjO1+i4KfhGsliM6VVM+3qdY4
F07djbu5quqNaUE1bHp0KnkKq9lyKyywDWQIr8cAEbXVEjoxE4c2WLoi37udRxslaJwDQTrzLjVB
qEBPIVsGBp0Tk4fYhDpxiSAC/bLtwPWBv6hc78U1I2Xj9vM204iBQN63mYJBLJSW2O4waIj/M0Ek
M7dZpsOMkx6oCSwP3BQYrgQAxIvUGIkqjYAHe5k1LhtizFcJXvajGqbpNe4I4wpVafGSqGZzltdx
cZ8QGe7jVmf61Sf/wWT/d3XjG/zvu9ah/JlsUIKn/9qw0Aby/ePKrTP25Hx6s2F5n2x2HFDnGuA3
uiV/b1jIbDC3qpzkXNORutM/+bFhOZ9Q8rDN4ZjkLgim9k+ue2BrP2xYFAQuDUHMFWiv2SLln785
sduZplNndfZFaBB0Q466WjFvdaPaXCojEeGkegSdjkAaSVzGkg+cEglJjrmni5PXkbmaHdwuVnMG
pCHPCP0WNbTJALSj4F+F0GQQnsyDlXFpEoyS74cOq9dyVkMTp2MKPqjatWZDtJDXW/Z4ySaI/SVS
ynDtWI3id2NxjwwbOATeNiDkLsmYvVjUPUgHrFk5UwClXQedepMU+qEpbChCpEkFk3qFWBjrljaa
izKoMBPm+6IOzrVhvJuw2IMuImG4qvJNV+2yPGReGlLrEn8c+6mDfjAbHWpcl9lYF5AIhAz6Pne8
k6ZyxZFJJkrXphhKmcjRb60Q/oKhZ16ny4tA3PWfBbqNBfTLfR6rZH6W06kti2k92D2Eis7D+97X
wjeceVymgvkoQAQy460G9YOqr0DUwEPvNEypbv+smOMedxI6eRQ4aBi153GsSr+z2jXwpm1MdLKf
a9l54uqVH0N6heNEbF49nBPi2pHaRXU/l8Y12dfr2un0dZAGfq5gkQ2aoNrRHSYR1SwvEr28ghPn
00/bx+zN0chluMeVpznkxnfZV3OqUHVG/VIYaJqylHALYnb6KjwzIcA3lYtbJ8BUgDIpWTRZma7d
ycGnaYgDuUp4ALIGfAo4IRKq77sC2ENaejiEJiNeEu9zoggDseEJX6vFWd8R1lyrzX1YIqeZU2s/
Tdq1CMeVjQgVDBBRekVyRRT2eWwZy9SJu4VtzzFuNJJPK6TlRKwGka+O3okbmLNya+OlzP6PvTNZ
jhvJuvSrtPUeaRgdgFl3LwKIiRHBIBmcNzBSojDPM56+P1eVKiWlSmX1r3ORi0xLMogA4O733nO+
o7U7rSKMwyrKa0srum1EfnVhpA80mB/zpF6VVX1WoooxvJuSa5txInSyBGVl/jjaji9BWb1qvKhV
X/o2JfowZpcptRCTyphPqdUAz295c5vgs1T16AAaBuKvuwAiHMenglM8Yard0xSMj5rZ3pstxTLg
wy074zlpLU9JkApZHYYyFAJ4Y0evt1MyzFINVhh+LaPrL0GC06NEJ4oeICSr1gx3dVff9WJ5QWny
WluwfCcCoQi2jWtovKbmmWr/MMToMLQU3lUpoitFKa9U230rFnQialjrnl5qF+Y7m7gx76tW3SpG
eTOq8Uir2Ligf3Z8J1JxJUzKdRiZp9iuFI8cxs0UZ+jO7GILgvgtD5dpB6x41w/sZUrkcDRQ0gLF
TFaCqi9ekqIe+H6o5bNpcQ6uOmPj1RhWq0tzjEW6yUe8dIGO68Bx+YMFMW5ZO5+JXUNXApG5bOrr
yrYf0FBEV1hRsrXQpo80du8SE5ajMJDZatmETXWZv4zg4FfDAGEoCBH1MklwwLtKhJINViTI+guk
EB4d+mwgeRW8xRWBaPVcWp5ZRrs0nN5E1BXrThTFehLuqbfqk6aYHynqH0wXYCAbac208GhCKPjS
4NkMy3g3L+VL8dXMiavTlvbOCp+nKg2fDoJfn847Uhfd3IdQJFeLNIhqenIiR/xqxjlKiNgBSh0i
iuCQZ8k+wmEaRPWXTlpOMUwfZzyoQqnuK2lKNciIWJG5KwCRse410rwK2nFtSztrgq+1kAZXW1pd
MzwVljS/jtIGGw/joyuNsX0JiHKQZlnAxy+TtM9O+GhTaagFy1hi59HxOOO21cePUZpvgYbH62I2
D5HIX6aZb1RzUYgQ/wAAq3z8Csw1WhxFJhONEJfqnOLZWwxkKG35ydXN16VRvwwaD0NViPuq4YbB
7DB8K+uIuAyLelPn9s2AjR5srkbfYVRg0Q3XqK3uuFTEmdF5AVC8sUyJLxkUfbVgLbcpSfzIUfd9
mSIBC5xpb47WRa+C58iGedRk8Uc+olEJzBEiBy39XZsOD0Q9Lx5T7QUZWDMg5fm7tvta28kDyr8/
JV04JeVvf+1ryJ/6dk76vRcQHQgoXVwNHFVk9+JbYef8QSVoOkgQNBMXzvfnJOcPVWZ8UIfRuGOF
+K8SqUznx86GHGbSPgH9T0KuYzA6+emclBZVVqVqgi7QsMhEtBzyxA24Qp+ahD6wCSFRzYN0pwTY
5xPNfQw6RsZBg4iLwKz3Ls8u2HfdFe4eHzkxlKsqfu8Vdd8O9ZGQyNBrLBpucU0OuBi6DbqhV5p5
NF51VEaQW/dQvz1jic9Gp+zzyD1hBV9pDQqcPkhq+htLuYJcuSviZL2M0LuNzu9GUXqlstykkA29
LB7vdKN7cWNboTAtbomx1VjolHslihvOIhBo6jgm310csuSZdJbXMVSp2azkrm0wsTV162m5dUDp
k62TBahRWeontTIxFC6m7BEeFqu6Hor+4LTB58qFjaWLV30W6a058YaHRXAazQ4erq68jI21bhGv
vzVzyTufIqJum8dYVz+Dr0WGWRm1J7LsYbKVz70syvC37aR9bc5CQoO5hkBNT/FSvbVJ2W6GII3X
RJICNtJra1tYAdLICLCfkz/MVXBu+/GV8HmQj7Z+nJx625mw1pD7ytONtnHocdcBkQo6XVsJaOxH
TSXuz31MhLvpR+s0DtFW7RzSN53klshzMlGKCeTachxbh/5UUD3HERrOQa85srjpY90Cl0/T7tla
xsMoatQkbf6ldJoTiv3wyIHr2o3MyC86sR5bOtdoLXdt4ILYrMN7PWv2gD4pde3OvRpFD6RPRJ+L
0L6EwbyFDzkBB2ebkBzw3lA+JsDgC4BwkXRP/LddIcnh5uA42EwRfkRJh2hC8sUBjYtjKanjrp37
grrDjySR3AZNnmv1LgFVLoY68jpJL+d/PGl9va7KPqd/jlVyAHWugTxPQJ+bs7Z1Q/wiFVD0VtLR
u5JUpQJgei/J6fT3N6ZkqS9YWubIrnC+uI6XAlyvvpLXJYNdB8auA2VPcfRlLqV2Cq7dTMerRPLb
o2a+biimVcDu3UI0pPJV40/GSvMUFZ002EgPgJB2AB3ZKtYAR9oE1Mqt79qv3gHc/htOq5sUcPSq
14Mv7OcfAWlXXsS4qJDCNbuYHlvRvHcpvb6qLG/t0N0iNrvVkLE4EDI9Q7h+NeH0MewB7p1Ku9Lq
rjUgoVxcta5tW3YQk13ZTUhI2VYgh9gLiuCWLkac+105bQwxvzFn8OtpenUCZ4146oEbDS0xUfZz
rByLOtpGqbIvyDQQSJjDJPNdDrFw7eBeonqaHFxA5nJlVN2TVjc+dBWcuPm0GYDvrYw4OdJ0SL2O
U6s72dvRFWRO5dyQx65JtvPUMy5D/Jj3+1gJMFpA7pwhbUax+4xPmcSeJjoO+Mj8pY5dNIICf2wK
VqVWIei4n9rR5CWYvXmy5XDK9Y1qPpl9sh/pJ61yXW1gkY3cW2tF/bfr2wYIyXAG1+m3iXmvxmHO
eKI5LjiBOd8WaxPeBiMRGrhgrTdaql6sPvioBQJHd8j3HVYnr7WHnRbak6fUOLuMHJLIMhwiCrgk
tpwVLSovMvvTaBcHhoIFjZvMM0PnJcPc2wkInAWns1ndunZ/QwPoSdWrvdS6ou6210AIWf+mAi6O
KO+MnsIjXpqzqUJXDZNdxgLIBPM6EMt9zUio1rvbQO+vOMHRHrbQoYNUXxZ9I0SzNhRtX5aQCynz
FlZhY+Na3UEtlo1TmIPnzkRNVep7FrS6lP6/AtwAlAEkeK/Z4Y1WIAkMw1ttcY50qQdvWZR4I0Bm
qhBAAYozJarCZA0UwQU7ahE6GE03RqZQUs03TAy+GPqyKXLItqJbt0R2bGj2AJOkITh31U1nOw9T
3Edeblm9N+WWu54SPXtOkSX7YTV8SfBHR5P6mPXFHifHMXJJme1xUvfosPW4+WKFM5JTrNawPDc1
3utUw4tCfvQjK/C6LazbRgnKVSj92qJ5murpMEojNxHLNmhHx+vweOt4vaPJOqN4PRA9wTKOGxzt
DmWmFtQkl4q2TR+HTBlTX1MKbQO/dPQcfOSZGu91C18a3onFn/CZm18N59hMZCramwtERJOmdI4L
oR/iU5+kYT0w6i82kae49tJTF9ssl/OEvb2Mn0r87tjt7xgijKuhNFcTjnii8PxOda+YxJ5bQVtQ
WucbW5Oi5OJhwlUPAOM+i2nrAcP3qwysjDOPZ4LeF89cnMsizfmZtOk30rBvSeu++dXE/9XPn3/1
9n93nrr5x3j+fxV9fgMet2v/7//W/zK1twWgDFWnoYRsBAneT22cGlHMjBnvrF3y1TOj75vaY3br
uW/3d+2pvIrXJSFn8RH4uh/twIESyLJjWPv38OKfbcDfDi9oA3YfQIb/esTFJPfnEVclmBE/JMOG
r53A71qBOgM6zpWYYIX4ZzDEtyMuUfAkvjO6oL0lb+u3PqAlE1ddRIOmzV2nJfjf9AHJqPq5Dwgn
hS2Mp0dmXzER/PEByqvMRJ7siOvcWIZNpQZkvan2i820urT7J70TD+lyGxAXClxlrRMf2nfhA0Hb
qYdpyfAqFPM1UaPimBA7aozpQy5zSDVDbjtEk4oOEx1+/n1FaKkaFlTCfYm/ryH3SCabQm14VWTW
qSZTTw2Zf0odH8APS8AEEdwThM0VwwUWfSN6yrFcFLP7smDLyCqn8chIe8PGfOtGxlsjtOdpmHVP
dNMJrkvpzVFa+lWdHPoerxtZw8PTrDqvMeSaQ0G+EkHjBCCpVfKQ9tmrOtvL3szx1hCRgD1u2S21
/so+fu0WpCwJ+0JifUq8RO2WiAGS8aGP4hcnVnajWj61jRJe2ToTh9b08mK41hJYwNl8Pc3xtdnL
5O1GUuOiz2XVnWmPgpQS47Ubj+TLx/reLDcYFlfRjKdHv0jCJtalLn0h553qviLmu12khmXwMxPD
SUc14qWJjqnCJLDaalvEKm4hg9YxEChHkZcjZxJ7ALTZr8cywfokjgCUlo0JDc4bsmxXl9nnBsm/
3+ktmoRG3TZiYXg19Dfkae+oesRKDYZiGxWYl2L8fVnB52V4bqyQyYjdvKvLTDSlilrWWfwSs8Ik
AlcyyY6Ma85Z5V7nlemLhBwICFjHMYygIdu+bZEV0ZlYoTKVzbSI6GCE2Js8MQ7E26RwfzO7bZla
cLCn08TDFnO26HJ4Tp39hmVuD5qt2/QtziOQHtLweTvaovVsDZlzbZAPRXVk1sldodEUjrhzSmU8
WKCR6jxr1ggknWPNvp055alKptchnx6jtn2vagesxDgHhKML+kFJj6SjofOWJt1+mLvSHyDV9zFT
7QUplRdH+W3QmoaXDtOOMXa5aeior5ZZjCus3oYeJ8C4cKSB1ygJvDYpIlOhbi0tw5NFwxAeLU6q
zLhQWb2C8T90hGeXC613nJtXcMuOKtFtuszZzgjcdgjeTtpw70bhVshEbuG092MbX6peecBMsFeL
8qoHsloKsU9JjVKI9i6I+CZDki91GY8m4d9GX556mQaOI+k2y4ftFMRHsxfwqcZd5ZZ7Tco22ZQx
WV2FzCw5SBmHCqTz2Ko3qkwg75eGplr3PMps8tZc6Bt250qmls/ElzfEmFtxdSCjfWemM05+mXSe
EHluqs0prGysZgM2VEoljK2Xtmyf6Pkcgik59YSnR+F8V6gZlHNe+jSLNkgin0Li1q2w3OUidvaQ
2KhWOBvFdncyZEY7AxWkRuGevsBtLlPcmaR6EbHuRIM9qzLn3VEzjtV6fzdG1pHzKZ03mQqPLvIZ
hcDOJvu1IjZenxamD05xMjLxuhAsPyoIjgiazwicLwCjtDKAvg17WIg019vgOWbKw+zia2C9TiKh
l32NsXdkov08kW0P7g/AvsgOFE1H0033ZEdT0WjuIYqiszlkhyCcxxXWo9MYMAON3eJ9YIa5Uprs
WlHdbV261w2wcc8Zp01eqyTWWtpjrPXHSTOfjFQBg5NcFnkLmZO/V2R+lW24Bphy0ELlaVKHs0Gw
qpoyexY2yL95fNMVDi5xFWI9rGkxd9yLRrM2RR/G29rJXyvDOM0u8x3wBLu0TLY0Q0YOmdojfsKr
mkNiFCHga5XbIRaap5v3dtjDUV7ek8y+ULKFx8Kqq70aBndVXpwUeRYK6CGYi/WqVWJr65KIMFq7
pIOxPzaTvkuZ2eh6+JHSAmVmWqoHYk+PmkZPWNMqa6PGxtauqXB5KCpPn2hei1DdtXn/3I7xpWaW
NffhfdC0u0JhdgPG4rEY4y3XfE9q3lNXR8N+Mm/SFKOXOnh6IgiXyaetZZbnsQvvY3VpfYdxsQLy
uVucfdOK2yXTdk3o8tVoZ6VuilWEnXDo9QvR3lRzaOR8p5G6OI0oOEOc2oz9fo1KS8/W/VjHj1Ye
dyz+wj7oBc7f3MmGTVRTo9VYm2Nn4O1kCIeHfSUaLgkN2Y6O6NYOC/eGItTBfjsUa+oC6OxM7Ffh
MEyroc/fBwh8piiSDTsMDmeHfMFKlyqvEC1itwsiwHYTuoRVObjDVZJN+apW5i9F0+JUhw2ZzoC2
jaTRVsjLHM6s2dNQhjojKdFgQ3SKjRa1VLh5ImA95+ERkWh1Lmqte040m5aOtTSKrC2t23YkBDBz
FhopY2aCSkU7qqG3XDJ/0ZQj5vgrEO43ukNrYErWtr48kmB5F9bNoa91jP0Gs/2MELZCq5+D0Uqk
O27daC2U5HTa9mZAZFDXvQ8J6USp82IGxmkYcWpXsU+mwaYj/xZ+/D02zdl37OiNlfVRNZodaIGz
alH5J8YBzCCquAgjX0xbu1XIkV+sgx3nJ5JZDFrAOfxTHIIV9saeLRrJEO7SJjgnTPKytLzr2jSG
yLfsq1AcrSneaQ3pEWm1z11w0qWa+jFKBk8kxq075hdyesnbmKHTF8V9ARKc2Vt6YKoCMkU5uYxm
OApt9anedwGNhzTah3Z9gGH6JEzjkBXaVWOw0xoObYDqE5OfdZKGt1PASWHGbboE8EoY91h190Fz
8EgZ7LU8dBPxJr2bfRIG9WzrFvtSje8aPVmTFOq5JgNcIwfIOKmXNlWw/hEMTW1PKKYdruHPb4Ih
9F0JsOrdliw8bZf3+jMGAi9LtGljkUNpUCZxtID8UWQ1q3v6TNmNHtUiHw/BrZuix+rDDMp+8kj4
09Zwlht1ABKSdtr9PKKGTaqnkkG3b+Sw9ZUh/hw05eBNydij7jSuR0u9DkKD8Ej6ZIjV12ZgbxM3
3rux6m7CkFCcdPmoZuu6qzSueMQhL3QelrAcLUanjHAjkjHXwSycc6mVV4XJwCxDwhV16m1mKses
A+mihMambcEMBFakrZoWy2E0ixdrxMvvstLgzJyO0+RgqB7Lp8labitFvOh6EmyquH5WMcmSnNVv
0nagpdRy1U6g7Vy59NR0ZobSjXZhkyUeWuBTha40DZXlrOjNodLC2texZPt1kzMKmYjsmuvCN/m3
OZ19bagvYTxVW3K19gzFoI92PUEmcte2zOdJ40VLUJX6zYTuhAr6Wkvj63RMPTMxo70dLe2RsE0J
vzKedJieV2MT3Lpt9gJFwdzJ150UF4SiBbs5zg3jxYm6C7GhtwzK46NrFL6jVfuwUu91cJ1LaanY
uHsmdaWv5umxDtVtbxMLHVr5FxTXaF8MnWmNc592FJ6MsFLm3UNGw7LVu+dZq+/cieDKorKvEy0k
8jPZZLY5kx2bPNaZ+2JOxh2uxvJgGUkB9FOA9OrMlyV39y6xIF6ixgwZB36xUms0KOPOr+iv7JIs
A7kBwQP4r5mrxmXSEp0yommQI5DDY+rMmg2hrHUtDpbE+30JLivsP3XzYKEAALgCyjt7POCUr/n2
3wkp9FhVJ10v4nNSYagoTu0yrVzz8vsP+bHM//YhhAdBe8KG/bNaIw2IblLaNj6r814pIBZFwPTu
u/H+9x9DJfrXa7FRmJqYISVI+8diMFBVlypA5eCufxnLB8X4D8beX/x+G4uBqoM04+v6+btq3VmU
pcizczHyoO2cgOHRv8ZLv2iH/Or3Y3PhG+KLkryaH//+0JYKBKvOzw51h3Vj/ROX9m+hb9Im85d7
/d3381OxTCKPhj6F7wfWqpJ7qbaBdWQiKPnIEv/3l/KLj5JBINK2YzH6cn+6FZnDQHxcyvSsJjtc
1kyOKpQCpsc2DC/5958l/+yfLuuH2yIf8e8eYVWL88Fm5nKuDI8BM6k1vFqsqfOw+f0H/eqivr//
P11UYScu5uR/fBCyD6LPpmjDPiK34uo/PGu/eC+BC+HulspQQ9elVe27izKsQi/ZeItza2yC7G2Y
1lbw6feX86vH7buP+PlxW1rGUyH+gnPhvCXBi6n8Dx5nyR9F8YgNEefQj5eQ1JnVmYpenBNWQBQK
2fw/WLyQgKlCeoh0g7CKHz+hUArO90Irz4v9NtrXvZQ0df9h7frVTechRoPOqBZvspywfncjYJ5X
xews+RluBQQdKSmyboeGCaSPXOj3d+QXn+Uw8sUibBNbTf/px8+KAkc13MQqzpGsqdekxkTEPNWI
Rrb63deP+tvqJnvM/1p0/2J1u36reIr/4lTgZ76b6MuYOzYQPNQmdu0/lY8M+7FwQ0zErimd/LyT
39qdTPRpVzBhx9ArmZr81LeOp/OHZkFfJE7ln+rv/6bjaahykflztUMQLnuqrEL46RBTYtP78Rlh
mp0j9tWXc1W1MDw4YqwaF8NMZc0PWlJvA2ktGrXaD6r+Xe2D11hM4H0n89BaQYYUS3lwh9pXrflk
LQi0LThDegBGSw3jswCbPwfOjZqFmkd5rq9rGDbp5J5GwzqWebl1QnfXJzoFBeMph7RdrwkLFMti
vAir7BlYah+KKAiQdUEEDGZ4sgUpPArRrCunttazjpqmVgDjGPFetUbbq3Tn0a6MGw7+ZwvfHrOb
YoC+MmQQvedtMKVELVnubZaEl5DjYWGh5ZotcGBhVqp4MMyPsQyT07L01VvR8TmzNWwXpUF4QKQF
1q8dRYu6IaaXlk+G0LvjDN6BHqquelTHa70aC+artuunUe3FmYWAPHsPia/qZv70ami3fd2AFykJ
I5sWlEW2Sh7hmO4aKasKO9er28hvzEzbk7J4MNQsvtIIrwjo9ZL3pVZekNJRTEmmc0dxqbVYwIBt
Oo/OMVfhNubZycS+GHt1VS7MPq3WYnxru9cCAK5RFJ3XdsFrGzr3iQIKJ1aMnTkHH5xSGBtCiHFc
kfstLV186qQVKKa5K6MAXUSaq/f0QgH8TNaeGm7yzbC6w5i3A1Bme5Elh7XwJb0yboM93Ut1RZgb
o6rE3cSUA+slimeS5RGKWWH6qdEo0IZaw8ilLPqdW2sOrpUUNi6wdGJMIl/BpbgZRtVNWe71HJJZ
UOxFr1g7PCgjQz0n3TN09yfbxN1imkRI6nay7Uorq3dNG5bBxSHf4kpDNBAqJanvQepeLVJRQO7t
vkFiQLsWyR+iA1OpOo/1f91GvbUeHA78Q1EeCqQKrZQsTAVKAkQM6jQ8V1LVgMLysZc6hxjBsTcg
fRikBsJGDNEjisilOqJBJrFIvURZhtsOAQUKQ14J5bGTygoTiUUitRYiNM824oseEYYVMwQEFYcu
I223yICPmVRsqG73uiDhGNT0wZWajhxxR6ij8qAPi8ZVq+N1IzUgcVQQEZeeolDxJqkSUV33VCAb
6aR+ZERIEgfxA6kJuCuUMFoliE2MuHocEJ8oIenCjdSjDAhTFE15GaRSZeyckyG1K5pUsYjUfIVo
cGg1+7O9tAdK7+sF2Uso9S9taZ0nqYgpmnybSY1MZYuDMTUeGXYqAurobpB6mhRhjW7fp8ranJ1D
heLGldKbQIpwCtQ48cCIskuzW3QOCmrM5qVSurtESnhoZd1EFqw8gbrHGElOQe2jKGK3SLAhoFUI
Z1IShBZxlaERsl0Xwll6xiGFrYO7LsVEg5QVpfny6kqhUZc3HjNyWmlkrEkdUocgqR+XvYtACZod
SiVNA/qMdqmKk0uXWe+uVDX1E+HYRW0/hgqKJ01qn5oywtkZdRhfWQtX7pJN27YgjOQfGJi/d1yd
A/lvdtyP4e3zr/Zcfupfey7mcjx8uPyJaRJfPVDfuQMRr5Evz1rgmETN/7nnun9YukBYx4FJ0ou1
7/ZcAp9URsoyvglW6H83ZMQE9dctl3ISlxY2Aj7w5yEjQYaVYQXxfI6LG2O22ToCut1T5z5MCyls
6kwwo6sXR2fJ7pzZfJ+rTPFsVOMwzckoJ+5DXUk5VJvimVGpFiZFvLtResp693FZ6gdjLL4AxdrU
iqhWMbCbrMqrldMKfFe4jVQ9P8LgQgATDC7wSbpLKkKnjPKLIVz6iIVo2RhUplKKwPgtIPBTt57T
jMd8Xt6Jj2ewlrq7se4f0ri7aVzzOqbPswVKccnTiSzfKbwOhu6qHCWuV2kPmkObcgLenk8l17z4
iWOswBDveyfa0FEI0NcVmyJSnvqKlhx7OgiXa8q+zWKS2FvYdrDGywspaux9dNyb2oE3anSIVk3t
M8r5c5tqgoT5er4sSo73OAD1XrXeUk/sf4kRs3GbWC8LBcazYr3kC7GnYgxsXMhqdmWXsevXWMyw
ewQytz7xnVHOFmVu68zJZHSXlaH1FwEXkJ6g9Yj0BYVRiDycxljPpr3qrRKPxIRwY3nQxpHWChzS
mljbulOjdQa7uWH6GSZsN1GYmX5QMvWrh/hIf32dtvNWzabdMg5i3QNNXCVhuJ1UBDO2BEsHkPVM
G3MnyM2PKrFOmdq6KyBKONA4rQkEkqso6B+6oniNYQ4G1hUhQyUm7XY/9z1h14RBiaTYkbagrKO0
srAyDCdXIpBThln47J9mU1zlFdPF3Jrfas2qH8wcVmBussMPSBHHPcbS7ZQkAUaLAONHHOwgEJGP
WxuHuU+1lauA2puVGfNp7jwqAwxKUSub0dUh1w5YVhC6O8G4X1wrXallhfopLHx3UMjirattHEf2
SrXBG+jBxujhtilwWZqmf1zoxGeW/qU0+M5Y4J9Vh9F3kD6AAHwJ8+ZmihA4T52DEWJ5bpsClR6K
dQZotkea1rqYuqu8JwRbT5bnAcglXfW3bo7XxKgdMAb4Wly9iHjs/MBgNJaqNLuzJrtnu3iIKGxX
VW+2/GnpAQrtulqw6XT2Sw0+YNX04tQAXVgiRGEGgUBARrfqDBy1718tJ7wjy2Jja8UZ8Np5qlSX
d2zRcagMRDCJAhHYcK0b4SYtPqfYH3o6eut2DLZlPMrYLROrgzWj2LJwz5Op6xKxzGe3zwvRrR4g
hrc8IJ/GUlN8cC3BUFmor8BS3gOZLldTmdlgBuz7oggPTq2+LE50ytzp1tCVLUczcodq93OQqzuo
4jxGdk3YaM4DGEju5LQOEv3DSsyKF0q75zF+tjvMxFpQXnexuG1d47O7zA2OO9DaASOfvNVMD3MB
SdhBYa0ygcXR6ZinWOmU3cype5emrCu0oknMHQjhzGdt3BTCfZ+C7i3N6ptAa3AE2Vbgt6OKN2eu
XY411qFyWvNmMZwtiRQRaIahTi5VoX0KZkNn4rA8LGV5NJbwXWNKALx73uWBq6yRAF5HgC9WbRW1
oDoZ4ZDc9FFW9rLu7Sj1m7SSONeajZ1AspVwbWAAVoYS2ESgp9mHTteu4l7bR1F31zBpAn4JTn4x
r6deOZQ5VxmntV91kcr0RzFJcA79JMp7JrDmP7pgf2/50qX877f8c/NWhB+/KLP5qW9bPrZnU3oF
saY4pvYVGvNty9eomCXyi93doesiviuzjT/QDQnMf7DB/xG8+K8y2/gDqb3gH34t8nnq9v/3f37o
jLY//fv3wrRfOaJpKkHOomesA1T7Kqz/ru1TC7I5RlsNoHpopGYtWep6mjQMK1OtHgq7JR9LkYZi
M4mu4mB+cUJt8So7+WQMJC5jZB3tHd7DfFjXhpogiq4rhIsxR1UE0eVj2AykU8M4b0OpH6FCxkyr
S/1482YSv/3R9WrQbPTCYkNqqQMKRnEF6+MmwsFYr4kb0F0va0wy2JoEyC9uNZcCBONQ0LucEuJK
wKW2JskLb74oBOPyTuPWseKAybfOIuJozGulJ0wxKPcALDNrm0PMkQ0AU0bF1VLSM1AprMdbzViO
0eBKJNbRLLO9Fkb7iXGEZ4kG6DXVLj7hofd18P3HyhRbtVJuEt75uypwDl0VsZmFHENCRiHHoi0b
T0cpuZ5FgtuuUhIfK/N56tqzkk7OakSzgV6Y00NZjusIfybBAKIjEiU25uZLanQXpMwX+jgonIes
K26UOl1Ohon/qq42YSWiZ+IfPRvPc9AGOajPDJlxGX2hZks8vWJOqJcO48Ge04KRXxRhjZvKYXew
a1SjDaUQRi93VwF0h5gyrYLFFr6uFdF5CEe20yrpiXRguDgp5Z0YGcoKgK7q3KwMF7t0pdM+iZUT
qX+bQWhgUPrKfGgRKLOEgc5mXdvQY4lXHPS8CS0KiB27erGCnl6KptCfWBV62HrtjA7tu1fxF0OG
vzSWeeEkcY6eAAduelk/9o/Idh7V1G2Ta12Nqo2RjfobadCON8742VdfP+vv9U+24//9+neTvX36
aH6x/vFT39Y/XZY82Mf+qZyUbb5v6x+qSsYm1DuCUZbERXxf8kBihZelgndkECVje/5sM9oajUag
XSBGbY7g/836h3vhrzWPJfGrEqelS6Tkj4/JMI80Ekx7PHckBXlmlz6Vw3xHhCCpfm54xnGRfOIV
K4huNO5x3HF4NhSaN/b4RYnUDdpPE7+cgriADDu1yNCA2Ig94iZ4b0K6TlNmN0hAijvTzUIKkTLY
jqAKyKdF41zZ770RX8SwPEU0eNBV4PLTK9NDPQ36wK6uDNn8zG1pH3SLzZLpFz7LHzvkzg3eOhyK
swa9G/VbsIhTl7oPjNyo/NPwc9I6J5NRsmpO5yhsd6XN4ZAD2K0eqeqGpGAMuuZwM+nojJjMiJWt
k04Foliek0BJ1J5RYx2glo1ZrrWdRmLDxu2QklNbOesegNLaSIOtwDK8Ko2cRbMy7xsXDsTs+r1h
rHv8qau6gWga5/N+0YiT6orIQfG1PFru5xywRqNPsol1ZQ/dc68usVclZAOYMhSwn6nvxEA+pDXN
H4Na7gfN3tiGQsqAGj2GGos8aWiIuFA2MI2nyJJNK5vkBPtatt2woDySq/KOqvQACAnZxuILCP51
q+37IL3F2FIwFRd3Dt9QEJP3qpTEG2bZdWO6dyJW39NpUVcwdDkmqppUUo4PuW6+JMwtWVuJGBsK
c1P1GuDWyT5oiXNPMm9BjIr6GA9JhgCdiFEjeKim5hrh3yFsUjhPWUaYcfQ6Dcp9ZaAMi6a7zhUb
VSjPvZJ8ws1MlUn+otdUoY1dEu2S3iKSn+eL2gPsqU33xG06jomNJgErvfkFzdU60GWwa79sKrts
fd0kcxhxrkgcWnShvV0S21o1RflqFIIonnb2SG18M/uR50tDc5iHQN8GfAXE8nwOeCLdxsh9Uwcy
n4mrXsy7UnSfB8UEEhoZ9xZNwZClH/5AfaOpsDFAV04+La1o1Shz4itRT/al4Uj3PQ6Eji9pochd
WZQt/5+981iO5Fiz9Ku09T5oITyU2fQsMiMlkJnQahMGGVrrePr+vMi6FwUWi3MXs+OOJAiVyHD/
xTnfWQhU/a1Vrtwygzuf1e4KQHi593EdHPWuuBubx7TaGTxzjxmT8kLS3sKAG4WIWSzFU3g5DbW7
8xN0jIXdjBuAYbC7ukFAvtNinPAh5a9SfjArbl3UUFVLaR768bRqs6Sab/tvPbHZjw7dauAn4jr3
DTpMdCZ3kYiLlaCnVl2TKDS67DEXtNuy73ZirvDc3eCypyXXHAcXX53uUWrYqwzSOkIq47HoTVx+
shdLQ97SZPYS+MagMWJ3uFQwGwWOO147JROAAl3hGM5v8u4lDMTx8ISsVWYJXZJRFoyIn3PLCUnq
CVBh2MdRiAWyaHDmzn3EZCJ0TH8B02mNgHsXMbuoUVWlzDLSqFuXsn+dmXIUJcJhhbmHgGNzTJmE
JMK65tXVNhUzkiamT2Vm4jI7qQ1B9eIPL40l7orCeMhUGyYd85Y4JUW5quZZqjzvzFBiG2Yml4jZ
joMc2ORydJOE6bnKLIf/qmNvh15ZtSYjUgY+egVm1Eg+JiZBZWzflVV0oLB7qRsw62pmnyxmR1ZX
qMBnQmNhMPZAS8OwWPW1F3WMrxxmT/zxGELF0M3axL7N+n7gCTFa0uWccIWUx7Nkr8OIC4IU7U/R
8jBNPHo2jVET6rtGdkoRLRPoBsYG2l6llYKnd06oDaB32WWlRKmSgEeutBFloABtaHki0wDr0KAp
Iem9hVvF67ZzI/AUhHLJfq6XnZ1OizcH/rMyZRgI51tF9oDaOL2SXR5fT4AJl/WAcrcR7DMmjN52
UL0OKBUQkLI9oWm7jRwL71T5Gs3M34jCyG4Y72+VXL8l9SNb+iV/jdT2ycJOVA+TGsfGsLOz0seY
2hEUyO1Qtji3BybeWcp7Dc0lZVuqBkq9r1Vtok9MA5xdFpKxxm8b90nPmtY+/FMR0cNh/qCO/FVF
1GXPzZ8rIvlZnysispvwcHyrXxwqks8VEUYTW8KS6RllMfLH4pXQJ4HDWWMoCxDr9z7ye0XEfBjO
JmNbXebfSRfKlw7wVx0hppavFRGOFbijcqhMrAd2kx8rIhEGOVy3STuZcAKSLbREnYlolRxiH+Pe
3Fw64XxPt8Hz3KabIXDvlShsFlkIs4BdkuunzHY5YggsoKEs6kurL4iLVM86H8FlNu6MsfHmbmvG
ymMRBBz6nGLBSYvd4MB6zllaJvWDrSHQShrk+dY0vzHvRFfXMZwjGecRJF1KyaK0azG0j3ORbQcG
VZ5h9hdMyoxVRf4lH1fP5h5eASmiB0GDwIOc3uVKR/ZZrb5HZfMxzPqbo6BLLbokXFKKXGfOyBE2
isdhUu7rWdAVzRUzYcsh78U95tY0nSkiuaJrlhk3QD5HnwuB6pd/aD7oa/Adz8S29ppHzIUORSSC
VukL3cvCukKdZ7yqyQNzs7CxIISCbjWHmksair1vt7XHEToJ7N+kgNAuG+yRSsh2qJuxdz5rEYn1
q2isET/mfQjuIU+2AIIqhrik8GHUKFc000zqVVeq+Zx0zbwvwd3Q18SeRjUk0WBoL7FxEEY7p/Vl
XxgxeB2g6ZwrvFSgTvGY0pSGFTnoWY5PNaush2KuadkxNa9ELZwFJspk1cordnSLbOW7volye5gu
eW8K4mhi1YsHXJ+FVexdZJEL7tfo4Jtq7A1u1+xDIi82Y00LjqYR0H0FfhAIieFvtKT70N3C2VRh
1S2rxA+2mqW89C1/PjAC1QpICMyeiu4xwv2zFar17iqFueiqYVjhVWAq64odtlBy2M04vcBvnKy0
JocKqDBVdbVcbERqEB3SN+bGCav3DGfrBhwNHtdaSS/suQj2vHJcH/6QPzsFzgN9itStr8IUb1QI
HLnOTMTQ2qT2NNtmtggI8aWcsP8WDWPhxmT11jpKfTbgCj0Lhq7GCoozSrqfNyUkoRV/PEHWvfkR
ISpaiCkkwEYYG0lmChfqnOENcgGb1Y4jXtSM4T2lN8vOLLKJHkIqWpWiX1EsaQo/ZW4RNNulLzxz
wb5mabod8AS3q5BsG3U1Gs7IBpP94UcK4mhLNKF+WVDwebpjN2etP2MKNqgoanW8SRUtwOqTmovc
cBNsUdXdpLjBUp19Is7coWAFDXStbx6VoLpPsdEufEBuqzBjJNtnGHBj1YY6MsV3Wl5cxFUTPU0u
2nk9DEIU/w7UnBJd7NxdYqR0FqYFCBJneLVzO+s9TPsnhkHrIXDC5egqH0PcSghQ9Ggo8R471cNo
DfYGXom1TLNaHiLugZdi1yXuR8FzqsipQps5NwAKLyot3JeYMhd5XRxtVbzqlnuPb3X0tHq8aOfa
2Tl1vS3m5rqZ3dsqtPyV2lLPVF0NOXiKFmyjpw2mXZxBOcWOQyLLwKyidsKrQK3NhR0QltylRnVm
qvMz6weiB3J9GxXhPrEJbTSGgzIalTfRlfKkRPUCBC4lTZSSKoQV5iV2WIpYSRtvA6NHri46Azmy
K/YWCQ4LYRUNJuzsxW1Mziy1yxECVxfFoFyzypHImCTaB3gdGKYH2L2nweFHouKbFJKaKC6thV8M
wWWGDJMFB/6PTj48s+rTdslv2pZmuIr9yN2o4Lau0qAuPUfHL8IJ022a2KIhMkd3UwptWs0xjRt4
sJQTxp42YzfFK7+JDHT0mSCdNIYBVJsfDNZmLxHzDmPIiWXFGdGd54Dss5UxqPrGGAABGWrprxMi
8Nahbaqb1PfJpALou9Wt0fRiNkBRmM6o1iN9oxsjR33MTxtmPLX6wCI9zYEIMHJMge5ySqkVG74h
5zc1696UccgBCfeatVFiFlBxRlNbBW0AMxR1B8dU98/w53dTrUBI+delznX0Tlrbn0sd+VmfSx1k
YrDy4cCYAPF+KHVUrNqoxRjm6HKM873UMdzfbGx9+G0JKpGzab7gv0sdvogu53pSGyaVaf9BqQOt
7yeljo3mEcEj8yQguz+WOrMRZqFeROrJcKjB/WzGeaE9FcEby7CZTfiiZg+G76dDUe/q54NcktVM
GCy2Zh0DWIstWso2jc3qkrMbPUUSPuTEX1Xs3YzcgbTAqLWxHzW5403Z0M1s6lrTxv4gl3d60DEb
yG8QmYGwddV0WWHZ8RD+P/rs/qAIn5k8Z/TnzzOOTI0doS6Uaklwxz4Ez+DKNWIyR9umA2UZs2EE
xLAd5MpRkOQwsoOM6SlmdpIuu0k0fxD92FYqQ35fsb1MNFIwBfvM2lXWM/vNyE1s7tJyU7rsxQcS
y52I5tXwZZwd+9GWPSkXKSMc7lGbDWrdsD2d2KlWgz6yqZrsHUl2CAJ8cRaraUHukLKlXxQLjZHY
tlOmTSHGnf5tb2tdDWV3hUiovk3Z7KZyxWtVzj5g56tCsoHmC5xDHQ8Yd4iDDGxlZbIpbnslZphM
2As7ZMijYB/YKk/aW8NxGrBrnhwTXrZcP8/O8JTIhXRaGQdcDO+GXFW77Ky/pSIPKmtsRfjrVi62
GQVaK3WctjE7b8cZViU78K7hNQvkWnz4fUWOwZR9OUBk1iW+HRfEwkfmeEb26LSYRam2u8LBld3a
kCdQLTL3rwq1tlf6t+Kt+VbIpX01wHAw9dazvpV647eyL0NNBLwO6EwQVtWylHOermKsSNWYy/JR
kYUkieyUJLK45Ej1BqpNS5adblJ9OLIQnahIJ1ma2rJIDczkyp5LJmCGfVRCHcoD5meqfmYPSviQ
Uuvmsujtxx5vKmUwq/LIE5X5FlMh69P4Prf1tOipnQNEowu2SQdVltVJo5/VstBmwmKskGoySZRF
uJtsRVg/OonZrg1FpOi5ncepBcfAuiSWB/AbXKFhgctq5J3TusDMKPpVWf6nAdC6x7T3cvoC/CZv
glbBpGXQc4xyyXwG320TF+Ul4Hg4tjQZpSCJ2qLtSGk/EGhjc1Gte1+Cc03+i6MN98FcXUa0LpMg
SHNoHnPTRM41KYTQ2fYceXwp6FBEJSgYrheWlS4UJWxYOY3MICUJm6i/q24qgl0ShmcwfI5zXZL8
Vn5YLsTWVPQ1zMYpqV//aaF/b6GZ5v/iXoE0vWax+ho1rz+jTfPJ/7pe9N9QPbFXVU34GrbUKf+r
kzZ+Q7tMDys3pbTNn3YL9m+uDm0doPq/Puv79UKMB5eA6XBn/efw1j9dLnx76GZkucgvygP14+Vi
pqrqxH49n+b2vnL8RTf/Ea79wzb38/ZWfoV/S6QdE+gZXwMPPBeohK/Jn+DT7hbRpVWOpaGdmlFh
8Lc204ju463vt5/+AD9Zpf34m/z5+3yRYhM+WaILNpkISIh7fT7Yb7/+BgjVfv2bSGXap98koKPT
O4LIT/poL3pxa1PQYzhxlZPb9StGJcumfywhFkUXLVBYLXonjz4g9rS4bHPU0qheqjPLDJDRMtIX
0K2uQdsQtZj9zUshxXa/fM15Y33+SQ24TEx85WthrHxa26q873qaGE2cBgoGnxSRaPqw4RxW/KNj
Rctfv1RyK/anH4CFlWmp/PlNVps//gA5+/cWMtJ0ghJNKLfm1ul5gmSfur8UVbl0KSaw8DvAbsdm
YXbDlcZAk86kQIisKvOyRvvFkqlT8eIG6n5wAYlt0uxBz4z94KsNbFgl1m5HI4s3RuJCOvWddpHH
Mc74elcyP8HbvNbayUOvtAnnU29FqyxgGlwpC+imG4yOF5l+gYcP7O9DwxYnaG4QdR8MUjdrMp97
FrD6AHXBNBGRUcbHpZcQc1nSlVrU9nNV8yJqyw7fvK1mq6HcTtVDE8MsIC2vGvIzrRWXhJnEY7bp
MRDdZiY4WWM2VoV70wrLI5cFIjuNgBkFAutX5XiqQ59SJOkj6/VFlrGKdk2/kYmy57/+C32rGv/9
WErnwg8PvvjyuAwRW+d2bOaTujG2/m4+b++NDQ71U7PQztst7PUVMNXltDaWe9jf68IbH5Vdsm43
6sY6ROv491nsXx4TP8o6//z4fnHbiDTt7Ey+ZYtkVySM6b0ayfya5NZf/+I/e2d+Po6+HHhOlM1p
GPJ9FLJSbsa3SmZJL6lYLP9vHgLtxxnl77/S54fgy9bW5YmpDTfST6GxjC+gJXRM1rE0Nysg98EJ
gdqvf7WfnYCoeBCtEvFEgMGXP2nG2NK2U0M/DUjB8/mlVy5+/Q1+dgB+/gZfXjs1j2wSzHT9BJ5M
jjkHZdmMf5el+nff5Msp646uNU+swU9ufzZX+9a60a2nX/8eP7uSPv8eX47HibsaUYmpnyCus/tm
FGlduTEkxfH/T9d9iF7roik+2v8jxRyvRTnVURC2//fHf2VA/ofWQxqpfviX1bessMvuvZ6u3psu
5VN/f/Dk//n/+sE/jFg3xFb/z38/vxG06UVNW0evLdfLV5OWnPr/dXl0FfXvoALe3n/+id9LI038
JuhqdeGogl6ad8L3yghBmoWUnEUCmi9cXPwFv5u7BExWTMuOhemK0A2Teup7ZWT8JqDaO7j2EKyB
unL+k8b72+Py+YS0CaNlw8CDZEGNRQn/4x0W6jl+/M4AB19UtMrnSkpQNkhBoTaZ6gE+SLj3dSMB
guKjdMDOPq810OI2+0AytRxGlKdOXjdDNio708yNQ0db6g16k58hr8yuWe0Pp24U5XketcUrKR/D
Xs+G5FpoQ30mihgGUzva7z5t2bYQjr/W4pp4ebtqiyf0ETT6Ss+Crqa0QLmxSXRt8OY0N196dE4f
ihHNV3pjcb65xHkt8klL4SQyNSityhv1WEcxEMNECkm7yrLOv9EZ8V91pZKG1ypozqCBba1VM6kW
ISrqGh2gwWTSzgOdb8jdTG57j3qwDj3mesX0DF2uv6xrzeFsIyoNlfYMIPFoWSXzATOq4lslnk2p
205sm/QrizsU6iMMaLMnEBNGtLETfcYEguWPZ1OL1kRxO21ZeZrU3ql97ZpnvZTlMXpAoZdJsR5F
NLo9pZIavinKDWMzaU28m4DTuF4xi6tZa3p7q0spYIEmsI1Tpq4W0eMHE0zWzqlkQsksw0qm2sxn
YxnyxhwOmZtOufK74usfFZaMNP3rE+H6+bV+zjhFftYtyfPluWn/578VrMm/qXKtR2wFO8RvD/73
M4EPgW9mEPbHR/is72cCUReGxXpMPqYcAbIc/X4mgHBmH6kxPXOYYP+HZ8JPhnE2dZP86Uw6GbRY
X64OI+5zhADjcBpTBwcaZpQ13It4VcbSXDC2iO4TitPRFP3jEGdnZcNs2lIdG7kAqTL+FDSenzva
VRBYK+yD6Fqm3F5aaqScqe38bPr6fHS79h3Yb7OyAbQsytS/NjrFOuQ9+5+pNyrm5n11BO+wioPw
riXCbuBuXkeus89afS9q7SMZp7shRLIkklOVgt/R9K0bodByY5Y0UWaUsGk0qtjJSD2MEg1iUERM
SOTeY1vcDpbylPTKO8DiyrN9UiDGAV8CiO63KgN/l6jKseX5Z00BcXRI8Gz2rvUyhRD84P5ryxSt
FIqyNvIYStyFWXGpW8HKKsDW2ZNga9a1/SqoN11wCKKdVRpXVWMByfLfZ0n9yi8sDT4UEX/HHNXR
PMb3WUUUnu6/hrl505s+K6j4YwqkuD7VL516miDFsUrqgwZ3XotluyOLvkvDdD22xIZULkuO2pqu
MwjyXmsPYovdMF4aaQjBLe/QMBViXmYRwuHGJ3SE/UTjiTbYJiHmhUwxNsQTxlew1nTOTswh8YTK
SIvM3jMLxTjUlYT54NlZJqBO9lher4pmBGQC5GGD022HOivyaqON4CvF5rbz3Sm5ywPFDg56M2f3
RDYgGk7RzPLy9fNyNCyAomPEytB0PhrYL2PYn8K2BrL0TQzRfhNG1OYcvZGIYCtkH+BTjITmr03I
WidbjcYlayNQOvqUr0sxFIds1qNbTJ13dRuNW8Nyn5JozNiWldFpELHuKWWH0Hlybtx82BmZuSlr
vwMbg0u11rRbpWMP0iHiX40+9O5+IFEyE1m1sBvYAk2OD0jltTSa/jCCH7zhHYCpWNjMWKt0vMgn
lHlON5Q3QdW/NNAEzuxE7/HWhO+lxtpuFpMKsUw7KqRoYoOGgZMppobmpe22defXWx302XVlVemp
L+z8JtGhrJVaFGJgLW8KB2J5ayH4koOMIDK3o4VirPMZxsaA6hZtMYHmcv2lYtTjMiM2ZGVGgM0A
F+AsjXxr307q8+iXyyoc7vCPlVh+1WnB8ir2AuHSV45C2SmKy8w2HpgQzpXvRU6bb4hSSV4TdMjb
FE4X/aGzT4Zw3PY4WFd1687Cq5mGLCwTNPVgaP55CODm4PTTseGmwq3CMAErFU9m1tfrUXVGr9Xz
5qA4cNkbuMaMxcd59e0Y/uc+ksbBX91H+X/ti+eqi/Kf1Kh86r8uJBV2KkAeakB5jbh86NOFZDoW
NY0NkFVY6qftkPObQd3K4gg4wR87pe8XElYLR/vji30rer/X6n/MuH6tg5FF6OciVY4BAdRYXEfQ
CRgY/lik2sQdjqOY6tOkUPIhXyPrB2Vt7sQYvcP8FAma9dAOj5ZZb6jGzEuGwFSAgXpl+OIqqbv3
AjfEYhxDiIoQsW1t3aP3TAiEVXoYbLl27uSgvHWUXr0YsVMa52pKMI7RZUcq+7Uf2OdNqKyLSbnk
Mb61p/zeJFbM8SsCyhwwgA7u83yXEHMTkrbIUtTYmU54BzaQtYZ6OSXpsYP8CVrxOMprw7XGc4ip
GxM9yBAFtyaQOoXfaJXWw4sbtQeftX9bG09GQPJc2+5z31q3hnvWi+roh+HRBZPO47YMwvLYwboy
iuoAEPCeLds2hFzoclkoSXGKtfjI3HDVdxxbzeyFak+yQXMRht0hGKZlj8ZDgBCD3XisdbbX7kcD
jJIE4KGDBtntZ9d59geoe5a4j+N+pzSu15sNoSIzi93Yy8p5YZX19dRMTPPH6BSYNoppoKCxdWs2
2XaemqvMaV9yfeTEy4+U2ee9lW3Nudtn9bTtKmgBQflhxyUhQwAifYntFld2aGNJVcptawMrF+lw
SDrIetpUnTHRezYKceWW1jLEC7NgsHLqlPY80DNvDvpdPcN1s5Wr2B13murfCZk76xorKwdCXYGz
8yU4MfTVamln1QG++ICYsoLtOXW+V0TWs92DQC2rceOUUMCDsbzXdZQg2TC+5MyZA0yHgVqtmskd
0CM2Th1vaWXCXVvgYj+JeSZgNoY0aGz6mrrF1Qb++vKGlFdlUXUsN5zyKinacp9bNWkJ8mrVUs04
wEzrvX4iEDgd2fIRQ6jjOZzjK13TaX9UZonc2HGOFRXmhbPiV5qXuT7PS01e8XFJAFUrr/1OFgDg
aE0YlNN1JKbKw8CGtcQgNmiWpQODPuREVBOwIYjPtRgpxlQakTPBmok/BlmCuIp+o1CTFI7hcVec
Zt1cC2oWIgsGL6EUwDz0jq//gDjgXqE3iw+1LHz4fymB2GQtDKqiSFZHBalQslwCcNHiV6WEwhIJ
V7IULwGA34UqC62yqTqvEe4RlRSQQ3ZPrsIN2QtEl70s1RLdeQ9K9ymf9FsC3N/5+ZH5FGpDlDCF
HqT9gEBkij8zJx8DDAhkRVTzJRWi4USnnooRm/6dGKePzlb3MRUl2UXkMinAOKk1oxkcX5ZWR4IG
q3UmC1JdlqYFNWpehgH8jKRZ6WFveJ0w4sWg5Q8DLZ/XVNmbUkiV9zhQjSLfW8fJuPOVdBOrAFfd
uUcjB5cBkN4pUu0XFBIvI1urRT1mvG9ti2KlN/nMFHgFGZV6pZMqjAKjMvSNX+gPLcjLBccUynmg
HEHXMOaNHqYA87KriNfIrwiqQKBHcf2idLXX6LSLo69CnPbvDcqR5QSaY9Y7ynqgi1TcOk6LmuyC
urwJB2TmajxNBDfxdx99/8GQWH+/9G3eX8YakguKX3fgEY2SCV4Fj2VN/iw/nvGRqTh/ez+QLmeG
xkk0MBOodtBNLX62fo878zRmSG+muUPBY+yGUMV32d/lqrpvBwdar4KLLEKxvujU8TwJ1eshaM/M
PLzRJpu4pRjabh33C0cMhmeNynkEC4OGP7mtQ4FUJSttL7VLMqrCMMnX9dAE4VIpfLEgPU4lKawP
d4LKFHWTWOSqo2yAMSPEywlIyJusWI+djmN+uixlpq2tjellVLBR+KcW+bZMlNfyL2uR9vm/Fs/1
y/NPtSp88vdqhORmwPyC0RQ6W8lZ+FSNqIzMdBV8IGlGgqnLv9tj8zdNY1BmO5YkH6kSmfC9GmFk
xpALTR9hsyozM/GfjMx+HECzU0Ddi0SF4QjwJZaaXyZmRqgpQztl4hhmT3NzHMfHTy/LH+XP51Ui
pqqv5Q4aYkEiEx5QTFem/WWk3vmNAM06dkcItSsunQ/WScfUpy2r2w+c0l5NIrOXCXo9ch92GKq2
dRXjVYanaClWsYHcsMlttOoNUY9duBZN+aZAyl7o7jkPJ/1SmwyLOUxPWq+ZCeCjtjJOQdYA+x4j
lAq8iEszpAmG8TDNzWJQzR2JDz4XgnowjCy0gCBFkPxElL5VeuqDiAB/JxC6sv0MlIc4hbDgJuK1
C8ds3ZLawXkTVmcaysVFoDknu0RCkjr1gwv9e8XEhINaiOEiHrEaGHrRrrWaoxUg/llfR09Uaucm
0zLXzSaY6H21TfNiC6Zo9mq/uvHNdEPk08Gh2cAvlT8pKkp7TYwfWaLgJ3NpLQDZrjvhEODRXtss
sBS13BkVraGqbPOy27elSkBtN12OibPH2M72EmA32tJ9ZdvPvtbjcyCfInAVHCHRc4vJEz0RmlHi
u9MgPilYJ0iHx9WuPzZJsHc7ewvf5VzkMFFrvT+kBqYnQjfqstpaU2UvCkFoUjS32zlJL2qfhVAz
h2dtpD5yK0vxYLwXElqZklmvzwb36CyuI5LXlmEzhqvOiXZTStloxiYpMjEO2CoiktRKnjrhMi2B
p6MC70HfCTs5yPcjSVyu6O9FYSwBeh+txnps2vmUROIqzFjXdn5GznB/CId6V6B1DphIAG5GfuwO
27QfzkM9vQZ+B4k+Tu/p2u40375H87IuamvvzOZaGesnS7TQz1vgvEbzWPDL61M24smf38CDrKAx
LEFPeEYynpcDK82uCpizIpNBqduggbLhkFv2E0/BGu/yY+D78WJs2nitdB1vm+pjKuKtAwFBGOVT
V6uPigKU156qRYLcph/dpWqmL3PiX+LbmeEIBOdJXCcbLSjRrCv2TThDzyqJdwkiTP9qhqxTyyi+
y5CaZbbNgzM2+T4i05M5AekBpnUdu+KhK5tgDYYW9Vgpn554uFY1yKpd6XBPD8SXVTifFc28Gh1g
0h0RoGdgjCTuw2hWbloiMiOnYTU0RMi2OoheIjRVdGueW/nOC269fhWiki0oVixIYFnd+w1wA4Xq
No766DjWkXVelQCAqYfwApNxs6wVieVOi9ATIe7GlKC0VTszyslbP7kqGDUSz9ypZ6RDL5xwIk0H
eHRL9VGKstnljOUXmiENwHrVbNk6xKsg6s7JlYdQn5T5RptNcGizi/9JJw5GpOWqaKuCmXSUnmyG
/8kyVZrLuec39v3y1Zynu9o3nu2k2nK+kQOtEa2iKQpiKuXcp3iVJa65SCxzXLZpkV0XJqguQCN+
et8l+dXQ1wM8GeskImfBybKsY+EZttZ5RZmf2RXqLbwX/P/DZd4RV1/SInBG7YPK36L/JbwzXpZz
e44MfxOa4QEk/j2oXioduV/3000+JhjoIV83UQv0mAg3rVUpiUVkv5QD5RB2y4Zc1WrIbhDlDese
gLrBxIJMOXITSW1IqH6i+jA7ydHQyy3O5kuNHKZlCkp5zLBizwOzN81GWud34H1Z1acTwHLSJzM9
W3YAPFJieLpwNQ1t5nLmdPtBtYqnXLQK56/yAdsNylyHzZ1vx0CltMSpMNKayX9CxFMfh/0mp6PZ
cPSH937Fd9C79CYHcIfQjUSeDhP3Hnodc0UThTaLJpTZoKRFYd+YVUFVDPGY1BvMjN4kfEZpSXVj
+dONk5vzw+zn0TLt4ISZXaAtbAD67US1VKokW2AALJYpn7hA4ts91BG+8tGZolnG5oXcSmG7FbQc
i2RgauxkyOiy4tHqS2BzlNg2wUhNAZXX3ifVdKsyVe4j5r9FGd52qX7jdJV7Nk5jvyuUuPYKP52W
ZRcPi1JVH5nkGZ4xiuqhs0q47QXSuiTkjU6aLa4633jQR7e99nVzXDud4i5jYtV/HyX95Qqffd2n
WQRgYczslkap4cKYxRrNPOSz6kTPMnROQZwf2wSU/zjvTGu4HOpm/esq4KsO54/vwyIATSzC3D8V
Aa09Zwlh98csTQ9gmW45lS6cLHviuGSfNLkStZ5u+7Fcp06ybfQQWoK+wJh3xkl1jqBiEbvJJcCf
K6tSV0bYLYnsWuSB/150FlUvjwAZTEdLDZ5//aP/9BViNUnSpDDhO7PC+PwKmVlXRK2b5McBW3Aw
3cjtW1j8jbTji1tcAp4JmTTgUUoFsskb/cfvQlZzOWVJ1x/LAMsT5KadgfKH9JWKe6PvMeEq/YNS
psVl7vIedNXd4ODEKybQiL6hXs5xtg4V7A+IndzrnFupK3qSI9geioKoWxMMkHRRHSMl2o8+Lc2g
89xY2YBKBjeqnJE/J20KJJD0h5lZqN9o1ipMo2SVtMarUutrUBjdklMJJSjA2mVR4SYJWQ5wFVHa
hNYO8sM7xpPn0cY3YyJ8Hu30QBoIMfb2pGxVbYgPMBOyxTyyt0BuFBHMgtdYi4I7v9Oym2owuT+0
4NzMyHporLLdWtqwAqK+rCTufIrtZFWq+gnTf+6NMzocgvjOffW5E+vOtHeci4+OwjbCHrTtFAuy
4OoQ+w5+khLBpaGo3iwoPUYeMzySjLdGJdvWbWbiVR73rEefk0gPX6fU3KgW3aedhge9QEpkNNWa
dAHaQX28yhBzsvHRFpo1j2eV3fyNsIaxxtfnkvcDD6QUpMtpocTFfH7XQQkpcj7WHlkCPRtuQztd
9unRUhgucZ4+ofJGcNOES80akVJ/M8qnB14VjDNhwuI0aA4gJhc40Q5m4Txgvg3XTWZW665TxQ4h
RceoHfpST6DMSi1EttW51L1Bi2SWBcww4hauSJ7JMZJV10HGWoIkiILbgC6d5S4Y92ptZTMqCevZ
laKMXitsIiL0W0ufqJ3JJzRazcNrgi6J1F5aa+sBw9tu8PU3onaR7Q4cA266tfLxxndJMOzrZUVU
uWUieB5xwEz6tdn3hyQOr6vIvCKDfWNN7YOTJGJB3aiurIrch7DqV03H4MaR/igjVjyV5buHvetZ
4T2xLF3jUTOUBy2E2lq1aLlCG8TmrMD5HIuVJuqNCl/GzXuQJsybiDhH464uEWqf2bjgB61HX5XK
xVR7Ywzl0XXGXcPmHJX0a8VaO7etFa56xnm5l0BdBId4bufWeiARM7TJ/4nYFupudJmUSrIDhbwq
mmllpWAcSwqawgroS3gYe8W9HKr2A/wjkuNJrioxA7cd2nXoqHpAUqhGhFNjbCIDQZujBdlKBPNy
kBVq0oXnCqbuBGFyUbBHUaILEj4WQQhFP1HOMm7xcAiwaaWPfdmsK6g57k4IT9O4NVN/ID+D6I2a
GMFOqWKyLpRNPDhnM+GQtosWetACCWjh0J1J2IuZEOOMvoCBsw3yFjNadZ7L1WjbpgqRHFJZl9p7
EQxnpUxiMqXdDTcY02GA5mGJg6mhS0gtVjzZquhsmVx1YZkrm6zswTmSbGlN64J5n93fl6rCiEU9
MA+v2WGJ8zgcCAXxff+s03t72QDiWNoY1iBg4FKmbtgWU9t4RHZt654qxC5wwdtYHHu/1v7mavub
J9X4Ms3XQ3fCU5d0oGaJe2gOWT4uxx5r4nBK6gOYn8Wv7yMa/x9v7B9PBinq+Xwy6GGY0138L3vn
sRy5sXXdJ0oFvJnClGUVfZPsCYJkk/De4+n/hdaVukXpZ4fim2p0I26LRBEFZJ48Z++1WRnK8g0c
6TDdwPotwkd6o59faFXl/O1KaxYA2QbMzyGp/PVKYwsSlIycCdTpHPpVTEBFHCgroKHcRyVix3Qa
CLgHtVNCWjkhydAdIykZ5CUMdUd+r9vK4h0NwPVUqJbDjOKLiMtL8uVuM8o3Tj1u1yq3U0gGRtGF
G4gMX4tEexBRVt2EfTr4Ogyyba73Rx2SKoWFP0OEcCnxtkWnmg/osW8r8mXopBx6FU6BqhyXcN7r
lX05puGxYds2yVtJlYKXSax59O5UyQ951fhxFuyhj9Agniyn0/PnRZp1NxvDp3qyGwIz1oTaVg1/
cVf/2m/5faP/+aauOrefBMmpoRX4VazpbE1fo+Vltn6Bvf/V7/+wcUgio0YO0xk+5S0QYqdW73/x
WHz+VBgfnj8Ui6mUKuF81pUr5tYOt0mK5t+7iv/fsnS9Cz9GZH/cJcsyKEkJcjA+PHqT2Y5RS27Y
2VZcpXvtxpya5D6ezF98G99TAH5c6Hv7SzVNXWartSlN5Q8XmpMYf99SKWfKmFc2Ne8u2wQe1AUn
dh+cwnnYE2Fy8XITu9GXyX8mE+GFN7rdqfvP76qy9tl+fJDf/+KfN/wPBaA9xHZlhywj3WbwJBd/
7W2/za9hhforpWwjb7nPG9mF3OxEPpHEg6+di9fPP4X+T5/i56dzXXx+ejpJqM0sBYrw+RFrjG86
3ca+Mp3LltmSt33Q3QvDy7f2OdpMu+JW390FHsjOHeues2xLCDQerTPP9sRFvyu27WUEncQJvS+l
059J1d7qe3tfHsddc59vbj//6OqvHvwPN1AobZxVIua5dEqn2rRv1aa6kz3wIl7gRV7sF5v8UG6v
Xi/8fq+7HNiTA5OFQ3LGwekGPrC3b4H75fNP9V00//Fr/emGfoSFxXTcG9PgU0V724ncZZdvg7sC
VQDjBgcfrUOwpJNtrXO9U77SSPM/v/76+P798j/eow+rDUuNmNtqns7SUvrmOB4XkZ6HXip/sSmt
q8pn1/mw6lgAYoZhIeySmtoZxldp2o1IiyAmSMTcVZvP/6p//qr//Ks+HiZFzuKv10l/RgTJye+m
Cq//bxf4cOZTJ2jyBmmh51Q/Kgl9QNv0Pr/CL74Yc30Rf3rRRF5ZhTnzopXVuc3TTaWAN7V+8a38
6j59WNxaOWuTwUy687R+K6QZY+t0/29/x4cHrMfl3jNsms/jMLkxKbIpeqD86vOL/OLpMj+sSkYQ
ipnmHLvBZLiaXfhp1l2qxI2Zc4sPVDkPgAA/v+Q/fj/6dxUJPA+YmX/9fizVVIMq7vqzlr83yYYY
Spp828+v8Y9fz0/X+PDSZKAcRR1p0xneLP376zz/RVfhVxf4sCQuaT6pSVkPZ4lFm2Z0qma/uE3f
98fPXvwPz3EUM/QJMp5jzgYOeP3DsCNs21kwoLiRH172Tn78/K6hCP98rVn/6p9eHZn+n9wpEXvU
I41hshjdU8i1nfFZvlj2g3MFRZR/cHQ/d0novhbOTeevu/rVU32lHji1Y973587ZFW60/dXH+8eN
HLzNn6XLxycnbkaJLM7uLF+uG7lwEGRr+0J2nXSreQ+Fc4DMeXyXXjicNffzkbnyL1YvSK2f36EP
3/sgWiOq7Zlawhu8xZsXRzEc+5h5NwRiXCCK9J6UTeAUdGw3iEK2lit+sUL/6iOYH05FYuqFVoxV
d4YY7Ewenc3km76B3nns36Zd5ecX5lZsxXv4pLrTNr2EIPz2i+fkr3PHv9WQ5ofnJB3UXGsLHk10
eRtCh5x4rer2qXtHAuh+j4rCWc7kFTwQ0+zlm2prXsE+9Ho/2kMW/5r9YqX8fjD726vy43XXP9wS
S9jMhgqWlNrXtsbWQMO7WTbLRXyUnVdCpzepa+2rHU29i8k1733scXxF3Tbd3MbeWiT8rzj4T0a4
ztF/Nbp3s38e3POjfwzuEa8rEjZgjLZsBN9JEn/KCDEIAx8lWExnqv+XIKNVK6gZq9lX+87h4v3/
Y3Bv/EYWmQqTAgIXSm+aev9CR/gPg3ULDbotIZDXda62upR/XghNOZSzrNHLS8VitgLobw07WOUu
8KOQvIYyrbZ0k6nzvsgL3B/IuZ5y2zzkQ7yx7G5bZvBr+nqf6OJyEUBqmMEQ8GmWF1lsorSLmy+z
pD1adgUQrl3F2qLzhzm9+z0PtaOnmoZ0IcvEvJ5CSOROsySVxBycmHHP0kfJlyfpTALO4CHtG7ZR
EEGa1y0yIKWO5GaZQVzCBFIOIRqANliCMgbBqZe73hhzDygB8QFr23cGlQNWjg7W1E3eMEj3AzQL
E+jiqNDn6WyNHpmEGEdv9FdS0CO3yvm9tQ1YFDbNdwUTFtoiebUR3PtzUDIdzqM1YifaL4UW7LOK
LHp0mX5ZEK0EFyE76roYL8hrt1dkH/2DJrmP6xxoddZxDGNEjmTd1Veez7hom87o75q4ZjyV1veG
GV5WtTzSsiBve4K8qNbBqjwqeq8QtBJHTapdexXAp3V/qqqEqKe5zDZMHrdVox/0QvmSJwMOt9X6
O2I6XWhomyrRO3MafxuQ1YXFcl6UfEAWp6lwaZrHrBNu0Jdr0kx10UcWKUQSiGsOla5YUHeWKcbh
tkxUcBqJ6mWKASrCuE6Dmdbc2I6esoR+reXWZhTla62AZ0WdB6ofOlcttqWUk/ATX8pZf1RVhu8s
r8d64JkJ+vaqjo3OsVJujTTMva+tGgXYCm3Sb2sQGaYeof+0S+HWQ1LuUplWaSW2TSIwWZbtaUnh
megNUTi9ZdwohnKyGXb4zUxZqeUa/VPCpxmNLrGTaR1uzFQiD28M/DZs7ybSgTZDUpxCLfg618O8
yYS1DVvV8PRO+qLV9ddErZkzkNI4151Bwzy8Dkf5Qp5WeeWE9s/+1hhj5eVDyz1sjX1YI6xEenvR
9e1lTA9bXJelmS1v85SlOxN5m51WX8CI1WDZCAZaBYMFQ5xD0tlPZSrddHrzzapmtyHxtFrCTQhN
q2rHg93BNpGUY5lF57gsD1PSnosyuxoKRt909tHtB/24NwL9fTFEnzjJqGrbuKcPCttpWG4VYzmF
ddNCT43HDXL5yRlVg+tqWySB29Fc2lWVAKtLvWr0pxbyFjNz+74ANssM9dgoDQHUnY5gTXXCarnq
FwVVJfq2We+vWexo1JOBTgQQcRfU1UEdXKltd2HpKogWqzuWfXxjyubqi7ldANCCZ+pVDvox/NaG
TCAtN4utHcrqholevFGpm5kphbsaEQ14kcjyS8Yrjuh5cooKWWghK5qTc2qwJvFoasV72UjfckuB
mlxmX5aCcZCcrgCrSvN0lbR5qQlMB3ntC1PR4ILsthNhtiwTknSVlzkvg1nLlwCh3tTFnHxyNN/6
lllIbkw34FDQyRTDV2Qfm1qTHufYPMH53TBiYdw78b5YWquBoQofigm6OTaZTWXNSAFJva2aKzvO
jpKRbJYWZIFeB+eEgAgvNtJdSVjZwRT6vYXkliszpbe1O1nSFUb3gHMXRlh+NSWTXwvlNPEaXJml
faPP7W7KNGiuGV1jkyhbpUooVkoVq5/ZIQgyY5CkLSCWuH6OalA23Uw7m7xOX7bK99B+jYECtZ16
k3JP2AeIYg+LzOky6wpr0UYiA5wljJkJwkeQ0csYu+OQbCHBoIJOMhvvIwlZ/DrLAmyq68Dr9fAc
JZBVUG4MR03IEIFCed7pzL6mgn5rXoGSKWNsJVaxI9XX4rVtwv1UEtAhYMoSrwIEkomJ+VVql3jP
cuyEE6rGUJs2IqpvlRi+M0Ea6L2NnkSaFYIctq9M9cmtYcLR6OaCzrGmtGdWiWrsttenC2ycCS6Q
etuTTKan1Xksq2xfyeNl2E030lz6TM3njU7OelnbO9K8RvQxc78Ze+UttZHdtqZ5nUcmFN0Mz+D3
MuK/ekrjVPdJPRXhA3z+uyNj/amfSilgXfhxWDck21xDqP4spdTfkAUx/V7teWva1J8aSE3+DRsg
pQ0UzNUoKPEL/1dKQS1VWHD+p438t5YM/fuQ5kdtThtYIxWDxFDT0HGAWPZ6ovrpTKmsF6+yOiO3
0YQkrTHjlLXxC6m4ZNjV4rKKpAY5W3xKM2hUzUxw2gwaz8KlikbLQoMQn5jn3mlpQQq4DBUCNl/l
tOHioDPfWVkPRznwofTtRjatnDxFnPi5x0jjqdU7EJojezAquHbiHTeT09z1byYoohGRfycQds1y
daon7RVL5Tac7ZiBdAlVOs77XVI1u8a2j20S+iVq9oWcd6xSpNboA5Ho5b05DudRQTIxN1oMWEN5
zoC6KJL0iHtC35hB0LsV8shtw/QfiBW5OJrRHnCEDBsrqAiEETtbTfw0Sm4JuaqwuVETDNV0Xcgr
u9KqNqOxJurw4Y6qiQ0FPBZys0IuHAF+2Vazb5A4q+2sMLWOQxZzMQd3TVa+Z1U/eVIxCobZySnV
yOiIQyUFZFllLhh7OB5TOTMNtXx82LDJusILx+ye7VUcctLSCR6/jgimcwrLPsgItxym5ie7UO5q
9lKK4usYDZLfL2IGCjWikbbeZQG6j1zd6ymiUtYs+ylJ5BsapQK2CkNs0Iu5Oxvq3ZLHT2lRe2PG
rhJbIMzUOL6gEj8mtfQOnM3YIa3UPCXuZx/wKnKEQL3uu+ghSvj8IdmB2HbKxTUqjZq2JAuzUDU/
b3HwJCnWk8wbQzIWYyRacydTgcZcRwKvMgd24ZRF9IiP82ZqiKgsrQotlkr+ekjXsy662elQbngj
REJUGeCu5DzVtnnZX5al9aDLAd97SzEoTzWywOpJ7uOLLokvmtiO9wLVKtEjbF2agmbAbmfFxS9J
ElBXbQO1PBeRfcHQ3dwjiEM72sZnKSmf6qSON3W2pjbFjTdB9DZguTmMXZmfZMOulqUrRWndSh+J
GZCDYxP2+7ao7nsxbMu2OEVludGMiYykPMa/2g42wOiRGiJDI2ZJw+NSx2/tgJEpmbZjXM0gSOvM
KYxVZMVfNZtXZT12bmoPt1aabTrpUHOKH06BiDezZCPyLC5lvbhSBhR0+nIpegN/zzxsiUCgMiBK
uy+jhVKXI5NBcjwPaBy4hoDpVRMcWhb8UsarlYvYMKdO75l4SMM7SLDUm3IVwV61vqpp+zIh4B9L
C5/P1CPvqklKIDdmi+l9H8noRJdAY9cjCyB2rMJGMiqm0NcnNXCZhY8bW1hUSBVRTlNEblyQJngz
tG89kc+bPkq/lerwWC/962KOCYIBNC2hOl7NPUcFbPQ4HzqjoxGqDGib+0JpjkqYdUfWnhUrXLGz
TzVmmCLv9nqRJ8ZG7VFN3pOlaVnbCLvxttdwxTC3L+B8mlOz4PEk4dW3CqFhvR2Qi+9wxeHVb1Ts
qmdR5HN/a0u53N2OdiPUYz/1DHP0IoseIRorw2XaVbsypP6oEsKXSy3VNnGsh04NxVRuwps2UAk+
TaeDphX9phENbiRhHHVzij0OuBpKQuO1LsvWSTuD4IBEe0wFhORoGNB0SotxUEse5rQAGsh/Th9N
L79WgfYcJY3idRYyaFSN75iCqL2iFfdejIojSQPikw6d+JxOp7lqvSm2aelW4qQVzbUI+mNulV+p
gN8XgZR4wrHRcnClONYzt1WnQ8REWSLOwDar5zglriYOUE8rQE455jMk69DOKsk5aO0LkcxPWaS8
L7LEbwn193TIsYTEnlgOMO/gvesNgN3mJl0P6RIRWtPkTdkxi8yTlGaIYafymYnkPlLVxp0EDe86
XgqHh/FsmGvOhG6HviTENa0LxRtNffHiqT8xvD7a+hS43IVqZxacOtpS6raqNrC247hGw2ES44cJ
sAjEXZd6ix4+KE2LsgL9KC4/9H9Wao9cHP/MCuxXF0ReC555T8XRhyhjKi/zqRp9DNMXldWhzrNw
NIWyeRmPxYlaD8c5ca12ASwsb3dh3z0b9jj7UI1v50zU/pJDeQ1sNhA96e+DHkJzDzCSPsQhESmf
sV8eEUyi8O8NjWcAC60uKcJtyu6tte17FuiNVEGlyqMOxKW6o7t9Xw8k58bm5KJO3tejejXgQ7P1
8iVmo3NkUzprUndE2he4hGoEGCrlhvC4Zh+KgS2hG0NH0fEYRWm6t3UIlENYuIml1NtWj0c31loU
5f0VLo1NoXRfhhzrVUp4pNaj/p17bfJTiYwqiAY1Z8KAtmbIv5qU9yAYEbYKIW8NTj37jhvqtrgU
pKpNHMvsDn1BGVsbnBra6R4HgOQjBj+lLFkbES/hVozyMcNL784jGSJgLrJjKCvY7AmoFS0arK6Q
8v2iAN9FDAMAmC6Dm5jwOLT4KuqTL0IqEXkXNFxY5Fjg9HG35AqvhG5dKQ1aGUvGI2WU0ysQrwdm
arjBzVcUcq+TIW2qFkB3Gj7ioza8jrTpIK8epdLaqVpzO1rKEa2Vqypz6kpZdFSa8TmEjtibypud
Lgfin69Jk8Nh1Um3hbYu4kLHlNhE/5Xd/8PkMpT6pOyOWxKDy/4fCm9+7qfCG1TgaiVa49W/UzZ+
KrwhG0KsRmasrtKDH4W3QrQSmj2Jeg3/0Xdf0o/Cm9R09Io26+vaFTX/TQ8TpMdfRhVr4Q1dHSLv
6mMirM74UHgjKUf62hjl1dRIvGCDNgLy1ujMa+MOCwBjyxmGBfACULqEKBylLKeoNGIz3QPzKB/j
PGhPhoXkvVXV+jZh4djhNWrPYxpU36putYBk0FajzJxhnMszQUC2GFXknmK6apu8u6wTdKJCMvDo
ILUm7yyQM28pguKcYsuE4x/d0PTRL0NZFgcljMbtYhn5fWfNOkRRk1dB0ftT10YmfumirB2zF+lG
1mFoIEftnEhtlTd8AdmjLmXFLtQxHBdV0D4PsFT8SLLI5GzscWsmAIT6aKiux6Twsz7u6O6ElTeM
sgZDQhTa8FriAdSOchEsMyr2Mu2xNHS9eNNCO4nOEdD7mhK2LZpLM6JcNEN5im6jxGaVR7cJ4IBF
yBzPFmh7g/AejawVYOyjZQJWG/ALeDpVRHw0REG5HPfZ/JIMSp2Dx7bJdA+mJ2PM1OdZmHqJeNIo
NhzfIeT2+HG7sVye1041HWElllAEgsmNQ9neBtUQvvAkxa5ULMtz0EbLmxFPj42oN0UYH8QaK5TL
1DSj3lQ7UY3I9C25n7cpOn2WvG6+SMsJAyw67AlTQiky0E1hjKC1U2nzDjmFdVo/aGac7TNbvldZ
oHeVqInik8bB0bEDE4XQGrcW6uN9JwgerqTaOE92LXnAcW2Jtole3gWtlFN9ZvaLMEdxULPOdKop
vwQzJLymG3CECtFO/pjVdedNQYzLW5Ttfq6CgugGCzs0VcrXkHXPW2wzuZ8o6y7MREtOjHqTJ/xF
5JEv5nzRpkv5tPSTOPLw4lw1oUolYRM8Wks+3hdJk/l9OcW3Ip6qq2ggQaZAyp95haahRm1bov0G
wE8dB0a99UJ8+aYbYuSGmMTyiyCeLIKDOY3q9Ww0Fizz0pDfqrJaNnWM49pmbXdwqeq/z4P/a4Fo
dCw+WYvL7Ln4B0rS+lM/rcSrw0KGkfYHXuLPlVj5TaMHgp0T/yXdB2ZQPyhJK92cKke1JCwIK6/i
j2kSlCSV8gWkLEpK81/aQGVrnRb9pQVigklaOUlYNQ3FlPjoP7dANCtPGmqa+dLqwuaK2Up+E8uV
+VhmmnKYxzR9muXO3FgwQk80UQMaiUPk0WJYvpj22N1GUpltyaZi9SCLzjdF12DlryPfqqVztqbS
Dys/RV9JKurU8fMDiDkP5suqP6+mneAAPylL7bQdphvk/ikGcAksc0HgvTQTzNRAZvqaR1F4KGuo
5ZroEk9ZSS+tZVU0N+YvtlK7JIY/z0FuHvqVD9OVYjwWKzOmKUeUuStHZsqky3Qly/Rxmrq2UZOD
AXZGXe1lpa12aOySZa1vk+StIq5XgwWbewRUhSvU4SmawoBZ1eDGa7+/pKqbkiLdK4tNcJtmKleh
HD5K6UyIrtpstKq41ks8K7HUiW1nhAtJTr16iCLJ9DPmTDKa/n3cabYnRSQqp1mh+YOiBFgfQKBz
fsKymVcjmQvD9dIkjBOylvAoQYSY0HUmITj0ldA+JypL7zBzd0TPnhWPleqBRgLii4/Vm82x2tdR
e+iV5CtoPBg9xH6SfWIkPgYOolPqpXMJGY58ys7Gy0QqbQJD3iWagI7ahO6kD9u8S4PV8V49D2WY
nKZOewPKgR9fCksn1yXLG2mApUl4Sx7eNYGFKiLhaasM2RcFnLd9odmkrjUKIKBavioV64sUtgRW
U1xWzN0mVmFIebhdwBxAzE5xJw5aSJAfB3KzyI+tKr/petnjDRlvhyjljMXpYk2vZoKQS5dmaO+K
vNwOqn6RTPapGqVtJPc4/LOQoJrAuAJivlnC+DJf4s4xOoIHNXw9iz6fdI7DVSrumfmy/0/aESco
/9IHX3OleVFHmfo+sl6JSt+ST31fM3cAKlAxr1+jFLsCX+i5Tun0u4pq9K+axYiMuqyJNkE5Xdgj
e75vkrlyIYPQ63E3cOyp7ED1THJDLkJDiff/9aO/W/P1T+f7jFlBL85/r4vXH/tzNWbJBf+Dp0uC
cQ0x8i8NaUNRdVWXWQcppf8IypJ/U0E6mfjAQNatXLofS7H9G/8/xGz4JNh11sDRfzHYNyU+11+X
YvDLVNgMZ/kfPsoH5Qqdlsmo6za/KmRc5KdW6ZkCz31MdIFDaJNi0zRg9SSurXql+Pm6lEu0nURx
qwlAF6r5Mg9j5Fd9uGsYgNdVXGBG5qHuNfMsdXJNcw1eC2suWUGljSU4nKONUhm9E1XhWYggXckk
nZsE5WU7d9/E+iLq9vhNq0TpRzzhvc0LV1rxcdJWb5SdnERVXzVSqXtlpC6AMIzBIwIoo3PbABEh
mL3pm5eBmhYf4LwlpuxFTPImGjscmVO4M83uXDAEdlIckI5ej0+jJe6zbs7cJJVvVb17DC0maeRy
WlsZpOBlyOHIpxXbYTVLGx+LwjPU/ZJT+wBTg00mhuJbrudO+gB4mzmJEvx8PSnSIZf0N63LtypH
1laLj9p6hm2EcCcOtTiX+a/tXS41jz3rUjnRAiT29LHkOGwnLAQMAjkh05B4bZT2slniB50TdMoO
6gH65VCtG1dgAhmkct7OI6Iskw5y8SL6cMP0/pZwmzPAzvPy/bguxXDv1iO8Xlv5PsGN4+jrAX+U
tCuhj9mxXrOzdBFR4E3yMYkYSRDKZeDgyU6EWUm+RffAaDmbjDXsafoKVkm/TLLzywqjHl2vGkZ0
VShbmh1ba21MNDF+8YoM5W1qRo2XrA0MYwgmX1+bGgz4aWDMyq4Jxy8BfQ8iH68Mqb+UygL8k7Dr
bUPnd4IqQQ49Gx9blDOtjRRtXEjEprcC/w27viKCLS9a4I7lcJToxERrS2bqmpcE0h5omKuRnk2Y
0LwxlGRLOuZ93mk7W4ZWkC7GfZfUdK7DLy39H4oqQSKJQktobQ4Na5sIeOBjkdR0MRUiPs3qASN5
62XteC/WJhM/mrHw03hS1w6UwJamKgZyE7l8z1sBRLWsTtpsX6YaUIBuntjxaW310zD609rtMrF8
8q40lpeUseIGNMXGDq96CofuuQugy5FvxKx37aKpaYLjG79gfI/tLeMJpN/GuwZUgg6c1ZndtiCK
FNMUR5xJVgJXLaUjaZ80IYlWzBMSjxbaesDXcVIX9eKZtPziQinYfekCxt/7gTQGAxqE6cS5hWft
VlMPYn5PJUJaBE1FEkt9de0yRpHpW1qJId98B3eGEsTU3ptFerLpUUpjdq7IfFXW5qXeisg3ZnT6
c17fRH37nGnQ5+N5b5XLQettPOvfm6ETk3qLKXRjze9K23wNRX8cy+4a0f2pG5J0A5jBW+iwqjaa
DXltusKPUIh2AoLXry3ZpuveK5HncKBGhSxR8zmum69EHUj0KhmIKWtzdxoteH6EQBE4ICzkSAiQ
ZNzBxgxbfKA/3DEzxHeJw48F+diuTeSw7ftNtAyHbm0wK3SajWh6TtbWc7U2obu6zfxqbUy3Ghr7
3PBAZi1uF023nU4cHOWbn03R6MGsUvyi0BteupJXwjLIEY1pv0/BuVwDeLU+QJsnwluS9y7Lyr61
A22nTjPZgrT41z39JqiqcxjK9SbsrOwRag8E0XG4EPBJVwchL7aePJgGoxZjGNMNyyrQMyV6mQqO
5L0Wb+AzHljQb2atZKCCJsljA7imKaJQDOrewLx0G0l0ZIdW1Rzd4NhqFYcoMDQ3rTO4bsN1rJMD
qtAOD7Cs4n5rZL8IM352GG51gnt3S9G/oASi0Qsq0lEKJQLnWAs3XMS7rdFh6aIm3tImuIb++GKo
vNt1ZlpoO9Zc5CnEPAhK8iyRKeaAWn6UrXxtPdNdzmfCZ1Ug/Jj9Jdi9rNl6VUjAL6Ruk3XlC+Gm
D1RMmjsGxYYU1saR+coxteaNO6p4c7tJCjc0obinQ2zsGTXu7FADMApbi5cGIH+vDffRnF6P7Ilu
l1D/xjotVYzVIfyGmcfNInWlT9Y269r8qcQC2otDOJT/EjkVAcuhBAdSpMa9TtQAmK5veqlfJWH1
NqGpcFoteTQYjgE6BhFl9MWFrBr1mWb7if0fK6FZ4GaW911WNa42K72frs2oOkuyfUsIrarw4pMm
9iAAjHVx922ss40dJPds9tIxNpiosf/v2zi8NOP6zl7SnSra0TEhaEG9QMI10/8KdNUxixkGytoW
Ixti8DgIvsZTKcBpkLpQr+f5ubRu5CCvfX21exaQXvyqAgAyZH2wl5r52UCJy/c5KJs0tQh9ZXpo
BeIQh+Fzg/k6TEn9mZIKiFvJz5vVVZkOMucgKfTBf7xWCT0iKGdPmhTjjq2NK6k3vpSaQV8nm3ZL
qL4n0miyxgLUVhTs1taE19gwM4IjjTZ1pHLm8UvkDvDqjCFtkZ+Mdjij2Yv9peKLbQSrdjST8ZOY
8AUNkTxLhXICuRW5XRwkSMaqY7z2QGB7becFDluv6vDgpHSXIPxwcZ+w361JQLUSFG65dk+QDnyL
Qjy+tRU2GwRzEim4w+CVEqSvlInKLIyHnMwLMpgC3c1rcRc14z1zdKDbse2WY0ZEE2yPsLfIy21L
cg216LYzoNEFWbfvQ5Igc8m+Z5R1FWaj7SKSGv28ElDi6Pe7UIg2UygyD+XaXlA58UImkgtJ/KUK
czKN2M+5W2whya42cDWuk88RUZGojHdDEndCtdgEcnREqZ2+m6s+ScmU12FujjY7uTOb+mtL3mVt
QUYrQvkQFGqB0HIg5d1IH8I8h2Q2NYpr9bhsRb4JgxfJCi8oDMgcBHHryH1yqFZiI0iK5KzE5T6o
G/7NSp9Cgf4rH5M7uWF6UPXixswZjyp5udfs8WGi5gIKuRCPUpWFX3ewS5CPoTRLa/4cuMk0HBti
MUrtaNXllWXNiMfMOnN5795pPzD7GtFmIQXYgCR+rAZe3aiRr0kQxjgwqyfViDsguknjoKq7ZeKG
ZcuUVcrLiXW6KU6T1gBFM7SDbHWvSY4TRI7Jw5nAvYOIuV8yOAdzdqdoyCzGliXVlECsM6e2xkJl
KAHRscz6i6ptNoWEBVSaWzCWUJN4apM3m9o4GohrJkXtbcmbw2LDlQmbZa8oxWMMJxJ60n01oMZq
qfLMlKUvqnkyI5skyRJpnlf35laamncjoqQzy4lsdGq+IZHdOEsecTzvMTB7oN2eCUF7Sbr+UtPq
Qx5jmg+xPwM6ZKdUaxJKzJspkv1J56Aa1OXt1Nq7SrOZVgkO3gmRkyoMdZlhlkp2FQm2kAYvmqnc
Q7p2M10awMAl8uzWoamk11mxGI8zSEg8Z0If+D/0rhq8eZVr6ZX43Y76X0NQ48T4SUOweyZcLHvu
278fQ9ef/PMYKv22xkjhEFQMTpd/CZqSEZJDh9PQOX0/iv55ElXp/OFZVWybmkExvg9N/mgKmr/R
DjTXlAX06qaC0OpfnEQ51X48iSIxR+dOPoOs0Y2T+Og/NwWFJdS0mbLyskfKspwSpdKTs6xJieJ3
XU6obVwPnZtn+lnn/Ifm+FVjQOI3Sn43yOiuczm/qJXmKZvLQ9YWN3Eee52giFeT4GTp+qmaUDEV
5rglqDQkPia9oGP/sCTFG1DXiZ1PaclNNsprPSSpIYfeHXGo7GFcsBxDjcq65MQABCqVBVlIHQr5
hZAhhxI+zDaQ1Sx5Dwq4iQ9KanThNiUOd3EkuOdoYCuVbNFAoPyiFKv2Zmzm29okKT4DU3SnBh3C
y4A1sIfTxtjlokni9imhbPH6Qc2VzdAPCVVknxxNcoATF+d1y3S84bW0vwNU08IcFr/+DlbNGcOF
KJanl95YI3ez4sFcSayQ4DmTrWxWIK1VUAaeOcJtTSwIrrQoT7RAa1dpO9SbYF7rJcD+iyasDIZ7
BRCsYEXqAMMODN+LYdxDHvMG0V1Mo04Yi4FmH6Rskymom+JnTu9HyLLCKbv+xALEgAgcrbVyaRtb
vhl6sTcA1hZBfbYA2P4/9s6jt41sTcN/pTH7EiqHxQwwTKJysGSFTYGW6Mo516+f5yi4JYvy3B5q
wQEue9GAJR0WD0/4whtUrZwkUrfkXD0E37X0ELr1HCR8EL5tsvIHJ+alg7anGprX4HFmPkK5ruKd
mT4tiiLOv8VI6VppMItzeb8zqsuyBkvQY1CI9G5i0YBCitexK6Sd0Oa1E03FZOdnqpDWI96rIeIL
vGZfzxGCBSHuIvLrRPVdieiv1dizHBFgdG5Ocek+swHSI2JzmlYoxCMaPKKa3iIirCfpKd/lNA/B
2yAyTEHjtEJ0eNQMQpr6MDTC/dyU71UjXOBHeZJr9Q8vQzZMfPWeBZ6PyzFIlH0beWNkQKg1IHjc
qD4w8vC0NNWLgoClHqVrA4HkGKdBEb1RRUwOKgQyoMVOHCSVHaT62zS+AdB3ncn+ZY30spsbxxpS
zCqSzHLYAkYalOMOsWacMuqpg3xzhIyzi5wzsMVp6aMFjMwz7aCjDtnnrEK+3R7KdWmp6D/0l6VQ
iHa91riwEI0OzA71aFc/GQw1OStj5E2SKEZkOlAzDcVpmqoToy/OZADuncKSaoS3dQv2vRAo+Bw4
/AAsXgYeryfasQVcvhe4+R4HxzaOrRn6I/d1OLD8wNjnubvfC9S9pLn34KpOOoHHt5PmKgLrqEma
NYkEZh8dHSSBn3D8AtEv+UBy8lZK0Z5VTlxdv9QF/l/SE1BoPd84Da7zEJJApSfQ3WEN5H4kgQ62
wkXRKyc11AIA+FODiE3uqmbO6uDbUini4wV+XrioEqRQFFTBVfCH6iiGvICqzbEGmUEBwJgQ0ueC
5dAVyQOBKF/GKM1UwYQIBScCg9ILI7YPMsGWKAVvIhUMCldwKaigTTPBrlB9A4w+hAsk5KgMQMGg
n3hbC07GINgZUjKeNgoqyNA2TMHfkGzg9jmKYr2wdkjD9tKE7FE75qFkIM8iNfEC6W2qF0F3Ai9p
mLSCK5II1ogj+COqYJKAjCsWYTMcZ4JlYmrBWRQV161JpOf7/ZVnGqx3FDJTKCqtHZ0RsSpTFDAR
XSzDa0fwWXCWcFB7hOOCd3x85Btm9G9gxjMwQ1D3Pr/7r9b+Kll9vPfFX/269ykmCysSGn7c8U8u
kr+agQIPTTVLRwceMXrUXX9VoOU94gTuYu5jrngEB99WoClN69SgHVJATf9nNkqGIkiq75qBQp5e
+CEDhbZNopD3934ag9iIeYyz1vGjahZq2rVnyIh0p9JhE3tzpcZ3wxAAKrdtDvAZIWFMEIFUWuew
NiJzmoNsXnghEnxSBlw/TID/KAFFZzOZh03+4Km9AsGmbnp4AGbWSDNNar5XHNaXA1Lt+2Zp4rWg
D1CUemtmFii45uhDnRji1jeol6C9p/yo3eqn7Db1Mu9S1N5DJZiiNxXNQcRdDkp/AQrLvCjwbIUE
1eHUF6cwPAFvTGIH5JXXANEenNyBGZKQtUaL0GukpRJa7jxMSHbtJnhUUrVHv7ulAl+zWZemqMZC
m3EntYbgT+SmypmrhpBcm5R/8510aaEJOcl5+1EYspfU/3kXyGmjsGsvNYETw8E9xsk9xNG9x9m9
LjnO6SCtagL+I1PYv2d1a4DqCi8zoxIB0FErydRaTA05qaQY9kexvampg9oEblY+mcxTMc9xnXdw
nwewbh8YxXhedtEwA0h/AwHqIcOxvkCdb1LiYY8V5LlRu1deS2bTofDdopVf4novN84JkUw1UyvJ
RIRdt2AWZbdhFx+iN3/XhzXS5I70s/dsZOZqZxHE7b2ROus8tYoDRYfCEaa1DWiXacEZHt6W7/nH
QYDqfoQa5b2akhEO4Xc4XAmq2ihh4H/VY63jcChnwJHHqrox2+qOa3ea6Wo2j9DxnAwejiGg9L9n
eAEvEhkSUW+b3qyS+6uMrz5+AsMGrUziOCoYlMRSNvX05jwX6FlZ4GhLALV6Xt/SOnxMsJpeuJry
mAvsrS9QuKmrEhCCy/WI3BamwOoin+nx9mq/38go2slPoN5A4HtzXTuQBOLXo3U+1eyMjQAceAAW
rAMP1gRO2KHYNFfCimqUWf2kBWjytDjzsPfzaS6wxsFokUi7zgQMECp3AXuECm88aQVK2aVXQ4ir
TToAzF4Lktm3+zMNaLMKxNkH6mxGNsYmwaJRD5Jk5nYnDmMiuPwtFyhpE7h0lJg3Fr0AcOwxTLFw
mLkhjGsUs9DXXVdpfYvGnTzLKMtPsjB35pXllNPMqR1kcdNFFuUnqtrsUy+/rgBzR4V3XCd5slSA
eQfqcK4C+9abDpUwgQQv+/4siVWiFjm+80GNGyY4JMob1kFYWMeqQ00bhHksoOZwSlVqMRF+CwKI
7vlA0sGlBwcNKHUVtDo0o7tYoShsc71PTBDtumXcNGV1pgqou09Xf9YL+DuVL0SJBSTeF+B4qan3
qRhSZDPHfiqBZOhM9wYfhhRXVagdIyj7UcDtwSuiT1PHsxw0vjuW60LA89UxFtxRdUlTeyRyAMTv
MK3TFly/Cr6/7rAS1QTkvw0rHcm30lxG8AFo6h3p8AMCqu+TXlAGYrgDMhyC0dSuXOHIhCwyYvdI
pE0iGAeG7QAJokzraemFKkgJCuwE02n2CSkHMP62iwRVe1HCZHBhNLR+dSI/URxy+zAQpAfXSi5i
WBC9FUiHPryIQBAk5Lo/NGFMtF4MSaBXDWHkE1Oi7qJ5LCgWo+yfjIJ0YdCankll/NMb3asip10/
KJTRNEHW6P3wsczBvWXUg2VB6ADboE5TQfLoPGlc1vA+LIFMHYvxYhCUEEmQQyLH+9ZrwbwRrBHY
I4hctws9Lw8NGx+8VPEpXAqyidaZyEmambFwk+E2gZGCa+yqqPoAHABkFRvWitkk1yosltHK+FM1
mOutvijhuWDzcRTAewkrF8FpFhGwKnI6A3bMYCkPI2wZw+PM7smVcDiZF0q5hvxwUsOvQTZybgnC
TTXgIgoDJ7PTmRsBKu+JV91IXlpwdWSvXlBzX8oy55Eg8wAus2eGIPj0g3WVw/gZdWMd1RyUgWZm
8za2lmzuflLDEyK+LCcUas5KByCvCpcoZt1SjiaDtQQGtlWRpaNLSVW3xbucxqVMB5O7s5xngd8g
VUZ7UxaNTlu0PEHcqftlVd4GdEONtImn4E6uFau+C0XDtORcmFQQhURPGE0uWqsjLVYNobH90ikX
PN+PMiwobdrZYyX6sk6IFnQqerVpFBozl/SdO++kE/3cLke3W3R4axQZNdHzdZLm0RVdYNkqHjU8
asLQqaD60SmuW/dEEb1jXXSRHdFP9sCFoOBNj5ldVkxd20CpR2aXiU40CnCLjNb0gFvw3OKcFD3r
jub1ILrYgRTeR7S1DfBsmp+gluRG+8QRfAdu+00x8Nkq2sLCqss6yGthXpHSFYgJjaCTjwPFY6U6
g2w+84aEvliUkVdi/IYe86SSqH1qAQLOdf7TllJg9Lpz1wkzGamgsw5DdxX5aI/nKL7LReNeUPo8
4TSvHPdEb/19PyBcRkkYLLdcR05BSwipanNSBjINkZBSyAgM3Cn8ZxmXf9fQdMpNn8fR38jA1+XH
OFr81Zs4Wtgm0Db5Bdf4FUcrew78FMfUhbwxdu6/4mjN2dMUgWEm+H5xY38DqiN6NmWZxqgiQnP1
n9TPVPu9BgnwZnQTUfAmKlVlA9cp4CRv62ctnTXog85wRvWnWiDOl84rXaYpEml4LR3hatMb4FcN
sAeGm+YnXdd8A+Wxb9gRkuVEK5PAl43jPuUSbEN6wU2lHwLMlqfxoFULValRdEHfd4m5YH6h6oge
oFeP2ufgGftVmN06owJj1pAfUsjOE8UfL5IAZX63y2Lk4Ck7aJ51NtIlm6ZZKygvVkRbvBsn6DFA
lwrgQqSJehFpUnzQJl0zS1xjLpe+sZSsvp/Q3K8OFGDPFDrM1JgGeXSpK/a6i4pveI0c5wlxZSmb
EmG81B96DtfQWDv5GT2ke1VVL52CUVwlOqH82MFFI9QWBGO3c05knanR1HjSe+2FHI3fkya/dsLi
KPCrexlvvzBPeNix406yw2PdEEDxzjgZc/txdJByH0A+TG21PRqsLJu6cQfwpUHwxTf7hYMDUAQy
G2xwBj4L20apOEEk4zYkup5YWu5isZqU884YfoyBeqoESI92MEsC36OJgZyAfV5ptjTsS40w+fF5
P1fu2mlRIn2hlPMyz9Az7xcyyG4VAkqjOAulHNejDd7bsNqjtAciYZWWDZqXYkPaVDntVcSlSxvx
VMejqtGp+k3exCeNRG+s0PN5y10+q4a1i+IsnOh6qrreahhSjH+8bGZFRjojMcsWilzHsNqxSi8H
c2KhmL3Mwxye5LiygZNMFG4KcJIZpUG9MgjUs4MWbksYZheNnMjEY+AN7RikXLEwYhqzvpbuN4p5
0XfeTZ2SMdVJdeSVRE6tBHbEhulCOGe4GOV4CHMMI3donAbzLEE6MBNSmkHhfM9dLLUTr5gWlXnk
djZC1lz3s9oIVuA7Pa6SbGX18J6qXgpmleSOS7dGRLerI2SfPZ2ardrIE1kZc7iHGMN7tffNci3W
FGz5pZokJzUBzbRJRTGsH6VJUFgAonT9KJa6C1Px71J0vSZpn9hzozKPE1Ndgg2jRuI5Z31aAR6R
iJYsn6qxB0waWXZUKTouKFRCzzIsgaEiYfnTRQ9N2NyEifYjH3D50CGxosa75pAiDfVoaXb2adsZ
8jy07RIp7bQ9dobqXMu1x1APIAbn/lIDXd+Fzmmvpt+CNA6niTHexUUNGoJK0MI2wnCReyAFaxdj
i6y4gHsQT8IwWocjjiGD6u6PDdekGksmHWswoY4XfMt8D9kRL4jnUh7dpF12o5Q+oJxWX5VyeJ8S
UfH1IxCcZ2SZqAycNJn9PSylI1wSDm0nkedyb8xNH0RNJpqsWTNt0ddFfl26q0k8rTA7zkry+c6i
Y028fVuPlNwiT3OWbY57b5U4ybJTWHhF5ehnapTZ9KmE4+XTbfDva9Gg2vL5tXjVoFy0/ngtir96
vRax4nZshegQLDeQRFEoer0WcSMy8BNC7dRxTPkt60cz98DaCByjIb8y8V/bSsaegKVDH8KuEElW
BJb+QVvp47XIG8MqknkGLm+Ajr9dizQS5AKYbnM6xhkxetDcQ2BAYS+CbyG38WwoY0FgDqZD5p4E
HIgzQ+mqaZm257j6HFiOi6waVJWJg6R3JQVHkN1OBguIeKYG32Q5emzBH2GW1YJYkLoEBI56ko2g
pFzZ9KZJlZ+lvXxDynCvVvqtU3g0SnyHcoAwCHOkcRHrkjQvOh+vNIzLLE/CAywPv6NddJ8P2XXr
g9rLao5s1zS/lxhSp316UzvSjZsOR75pwVYKTtrIP66z4L7KbBBVjnVeasZD7Hj2POGDTVBHMfdV
NUOSLrtLBrwd9FBDMKAGjVjE3ZJyyPWgIlWMx/hC10dUWUIN9eOOGkEk2Y+Fj7kaSpXHVR1fdaAn
p7ZnzI3IvswC55HNdx4YPeanSBXA9QnrudtB/clbsOnpAwfrnVuoZ1WWPoCUdabQsLx5k3YkMVZy
DvNpyT2LsYZ3H6t4ueSxjTq8GYnsIHvoFAeeIi6uyVBiZkGJHeONhEpQQcYAbey4rkCt6y7C1GCp
SdSAqXQLuewIAZylpxqXw9j+DPRwbSXllRZ4cM7H28QbcWwT/CS+JEcuDcpSFiV2GRyg2hfmBTWh
E9/pf9JpyWZ07tAkcuVpU4aY/crqje4Zl3o9uOj7RFe6p/5sVLM9GALx5wYQMV1rbhOpWVaZT5xk
mPSAcKahfhhSg4zvMuzhgcE2p9T0ZW4y7pVCAZAug4A3x2ghW/gcQNfZL2of26cobydNzreGyAom
L4YJvpbCQjHaCzOoqn23ArUCMOdQOF/MSloKXCXjpYW1QJfSfwIlMdVHV2AoKQ6Ss0N6GiuU1xtW
nAH/aGqPLOKh4jtM1Nybd+X4LfNK3jW1AXO0C1duvo22dhh0KCpYKsXGqnC9mRcjA9M20UOd9bc2
WGkigPyHrGQlWl3utOwIuTo5WAJDl6aZ5C/lVApnkhWlU1nOkNiX9xUZA/pKlpwl/clhorX2OgmL
Y0CR7SSvwnwOSvbA9IZhpjZtOgevcJ0VxqErtIVYjQktifpHRX11KpeKiTMHOkOAmtUjPY2oVsB5
8Q5i1fG1WRR1N6qNp828lCo/+M40uPWZWlteNzcDQ1uYbiKnVxbQuWym1/kIdqOMhfGBnVjn5I4B
mP4i8M+1ovfuME6ZVzFLaKL7unua42GDxJWoJfSQXr2lb1Gc8AsZpJtj9BdyLB0i4RTgjGxBGQA3
Fo8zaopVcYCVossNFvR1MIWaEyfEXRr6ajE6UGZf7BMCqrdRR03wJMZvi3Mm9pVZb1oPstc0ISXb
oUT1sANgjZ9mpBvFHECy5V3JtRVXd6rbeoA/tJFeIhg/072PjMDXT2S1TCTK032T/7sb89KN4fb4
/Lq8gz2+4bLkb14vS2T+uPDA8ysOdxFE8L8vSxWWgErmhv2eKYtM7u8c0t5zaN9gwaHYGhpO+huZ
P4yEgZPB57IB8amCc/uPLktBvHrXi6EYbOpUeiD4qQjl8BBvc8i6hA4aqyEmVzXXHsR7zN3Lq1pN
/GmocgSPSppdBcAt2DVJ8q0ShtsYvzTLZnSVqYLoEbkEvtyFrp1CQcNRK07QQrBC5LHgXNbC0Nsv
2h9O02HGLcy+gZH2547n5dMkwbrCadzsSscdvJRZ5zV+4W3gowXgFYiuCjNxxUPxq8FDZ+61WI1X
inKdCPPxOEauJHS0fYAOBxr+5F6BUXkvLMsBXARnsbAx5+7B384E5InDeTqqwXUhTM99YX9eCyN0
KcJRQWEKzhCbdRe9XDtLRCIoTHbImtZP0aaIO2MRgeL0gvcFQWlWkcLoeUjfqUmOGwLXiAC2E5Fs
TUjriNjWIMiVG30eWZ48Vwl/I8JgKovfmc2TTMTHsoiUMxEzp5F/bxBE9yY4XzLuG6+IbgQlf46F
KuQsQu9axOCaiMa1FH000/OWkYjUJZPMQMTufWoemiUN5xr8LYAFAvxahPq+28kTrKru+KJD+Gj5
t0xyT3XyA3sMlppLOVonc3DJIBBjaY+R8MBjtcZkoSDPQFaAQps7nhoZX2md9zNACeRZ2g8AHEAh
ogfJxWMp8/3DiCzGFOkMRULgmCLFkTr1AD8inA/wu0eNxjkDX0ximei0uszjTKRKmUiaDLKn3Bsv
dLIpSvkoEIgEC9k6LHFE0mXaRWSfaQMH4w8Z1NJwYBEEzLGNPULIcSSvRQJkFhtUQX3LWEsViPFG
QLmlYWGOLrVsJzQob8eHLcqTEwu3W+CGyrFm0WCPhQKIKyuojhl2sD8YEbRCEBbIuqmXpWG0dLlL
4NlehG4hlKzBDwY8ehEizEJnQUDIxR2NTHJQuQdIoqNUbER4kbDBp3gkLTUvv4zTFG3JQD/obaeC
T5zIV6nv4gGt60slS5F9MkIguo4JzcMFrqnLKWwcdz3AlAjgexxEhnFV1i7trbSeWpE2tSznlPw6
Puh0wwRNSe5qxeaBZJf6mVWDiOwhJk9zJTAXSPx8ayNRpqiNY1r/NPuRk5vKknFYQgU/VIbsqNBj
5aDIAr6lGk8A7bZS3DOp8xYwivsFYSFSVWUAoTEp96uBYi0F2ZldxD/82FjYWc5WZ5vkgvtHqnyf
QwbsBSswkix7FgumoC84g65gD1LN9A5TnZp4Y7unbQFaNHQoOgwOxrapqBuBIUDQsr8YFNLAAVm6
w2IY8T8UzEW5qHVoKZm+P3guvEbBcMyL9MgTnMdBsB/RShoPi1CR9nXBjcyoXpkSheoR2qQke7fw
BLRzNcR1iNMPpaQAIosP3VIiAPYE/9KEiFlYofezgprp+GzjCwu6JtYjEDfhSpOm/zvdfGbT/ZHa
fNf82IRleE9s5vrUCXxJD0Wl9c39qewBa5Qxl9OwsnqCEbyw6ajBmsgfUh/lLHhBPr4mm1yt4lJ1
+BGow3+IZdDkDTVYmNOmSG2xPoGA/f7+jOsSR8Ssl89q6qH0AI19k3LmkYrVJSh8JYedSwG1SbHo
7iNsOjN0DfGl0Q/LzEDaSpReWX3GcSnKsewICrOdud9SqY3tPj8pRwkUE7352n5Q2gheTtJBJUYD
cjS7A8e1F4GFgG5OjtNUtCFSR/R/O/26S8ulHvjpVeF5OLLn+YOJ31JGkbNUdFELRDjK9IqHeHCi
WVYB4i+6btnnfQ9NI/PTC1mDChfq0MQ0ymkIcc3rTnanSSfhYKIIr7a4gO9ar6zGe3ATu1twp8pz
b8iLAxSpkkmRSZeoRMbnTl0qgCAABOGXhvnqYFkzN4BQQpsPOQd3oNesU9N0tMcqMC98A4BgHQCO
9qPbQNWu6szJZ1KorvOIPr47etclWUHArm9Q1kLbU1m6hfPIOZzir+VjMol0nIwogqneJal3FI7O
lYLR+8QYBVNQla9yK1SBAeiHtU+ZM3aB9au1sRqaCrtfq7pFzgItW/ykELVBhkuXz2mtKbjVBheB
A31BSvDHOxwGGX+NNP8pl9z0pgADBkftkHkHWlhdNqZDjw589GQswcpbJtU1MANcjvHMgsk0KSSp
QVgOyA28ujquoqVN5WsepJV95qj5sB+ntjppzfBASQsHqcpyrRZU0Z3R8i4kwXsaA+PBgaF8Wgzq
zxjaMN0iE7404prOaezDqkYCiHJ8hO9dbeADkZJMHHpRdkbxmeQpts/Q4qWRbzoU5wd4axHAskqh
ZlCqp+g5pFAhxnJSBzo8mgZZY8XAt6uHA9Aqzb2Z+9+jCP3fsgFboPrpjHyDefOY3DgFnWFXsPeD
Adm67EfiudR4NfoLqXSh2PlP3R/mGB7vN0VvT9PILKdyXWoHZlwc5GZy2NcG9mPa2aBEZ2TW/dSJ
HTCdWXgjd+61kUjVki4Z7r6SdV3WHhalinrs5ioxhw2Jjh6wcEaXL5OhPpS5vIoovAwCb2428V0n
lz8QCsimSoTC4gBdxC6jZoZGL4GMnMLCYXINXToEXoKYuix0np0hggZhHcuF8mCrozar6uEm11Q0
ZBS8YCoyx6wecQjFjTNyRxlIpnzaxd0PXxT6TVHyT82goISU32r0YhwiYZPuQCjaBLgcPNRyt7BK
QbUTrQR44BlM9wZ7T9oMg2g4pIPxWNOB6ApEIhN6EoUL/SIQbQocnzFLrO5t+hcE1dcK/QwFq1me
j+CNTodDx6MUrQ8eeOaNbYcPYoSnFrl6M8qXlaPdD6JxgmZLPA1EM0WKBukgEw2WlE5LS8dFRwnG
pwNji1ZMnoBonOiiQeOKVs0omjaJpc9xmG5AdNHQSejshDJdJZueGLWOCkWBjAYQzidIW4mmkEp3
KER8jsejYYR8Nz1yD3Qy2pETl64SApgvjiL/D8q6L484W9WreQora7ho1uVwua6oLVSvKZz46XkG
l/Eq+7/90p8H+mv99M5XQ77+z/9YPSZBOguqugwe6rdJLCIZv7dOn57p6YH/NES84nM1j4ytWXvk
r5wbSEA9vagRxxlyO88/lhQKxfA/8X4jL356vQ2X/jQLf/6Az9P559/5/BOIGvfTBB08/ud/PKf/
MgDJd+n/vzITjPNmKhzE/B1EGdBZeXqJn76dCsoAcElJwPXnUsObhfLZUvjzB/zySdB/j+H++STY
rAfCLdCjm9eDmATdsamFPL/X7k2CsGLZbiWgOKw7T20J83nN81HfrwR5D8UyA3vb5/favUkQIsnb
TQL0IlATqqKKVpB4fdgO8h7BPhtmR1cCZsr/l9Px/Zlg7cF3sgE/a88rgfre+5WAAwjkLEso1jHf
u7cQRLFyy4Vg7VHGRBzFtJ/ngMzu/RwASAdhYylUDcWLK2Qnp0KkhFtOhb1H+ZXska3/9Pp9Krgt
0c+ywPg8X0e7tx5Ek3XrSUDF1HHQKNs8CVwR5Ac2PFymZydXgrp9sCDuSdEIf9kTCGC+3xSsBIRP
ELUUWm07OQniQN9yJQAiAHSn0/f4ZCXQUyG6VIDZ7egkCKrrlpNgCacnikoa0bh4/b4S2A6sBEVH
MGNXJ2H7M0Hds8CFGE8O9e8uBzAoCgBLKnkv07Ojc/CyQp+tiX/lNf9LJvU+VnD2+JL5/i0ykpd7
8N1UqBoJBpIu1EF3dBJeru5tJoGup+iSqkIX7f2nl7kaVdXBRvN1dnbzWNw6hyJ9sOgEW6q4JcXr
w4mgsxB0jaBxV6NGARXb8ljUwJ7JBv3q580glta79cDBoImyP+LRu7obnrfpdrvBQlaQlvfzQhAJ
ybtJUNkUAgOHFtxObwp963QSqx6CYm4C7bN0UkUDQ5Gx/tnVwoKQvdhyU4CtBDdpAC94WRC/rQeR
P9gQoGzhsLuTx6O29UoAYIrqoQgcXyKCD5uC8osM3ETZ0cKCgAltvRIInUEUKY5Y7e+PBLIn+o2W
9oL/3b0UUtk6j+YwEE1iXf/46XXCRWBTlFyed8iuboOt54DWt0PHm7vh5Sz4ECXIgrkEOFrb1bNA
2T5KIG8gZzBAkz+HCZwu73aDYuzhu8uBSUwpXruaQinbJ9Mci7LKoWC9JNO/H4uKKMg6JkSUXS2r
CO+QLS9IA0M/BEdZ+M/r4feokYDJZCVQUXg+gnfwdNz+gjSIjJ+qKi+x8++TQJQgKnCAbHY1kVS2
L7CZe3w8Suv6J1ECk4BemkNpaWcnYfuyCl80RyM1xJdunCg4/NaShI+j4Fm5q0GzwFltdyYQLOgU
3MFQPx8JorX1fhI4E/ixkMnb0WjhZYluk0nqezgEY//xuh04at9NArcDRvTUXoQXCK9dvSiN5wfb
YipE8MjRQLXxpTv7IXBSCZyIrenk7+p62P6iNPdozpIjWC9ghd/vCC5K2aQLA2xjVydh+yQKfqMF
eNQAWvr0+n1TUHqH9ci54DxP+O5FC4Iwst3xSJ/+ReXzpbDy4Xh8qs0DfBUl2Z2sKajbJ1NPTRg2
Aw7Nr8ff++ORbMtESw1Ho53OK4XTyJbrwdxDSVbgdz5bD6CxDZNS3O5iFraOGdgUKrq3SIJ8kleK
phwhg8yC2dFNYWy/EkArIDwiPuVvwQJcN35gAYLf1RvyJbPZIkygvqKiII5C4csN+eFcVMiiwPLp
zq7GzoJDseVhoFFfob2A6+fmG5IuDMLSMhoAO7sStg8T7D1wGGIaXjCum1aCEDRAqHWnLwdt+yKT
TRcGCBPlledP+iF2FtBH8R/1B/Ha1VWhbV9goNIMmhdgwktu/fuqYGuonJ2snF29IbZfDhRZNFkh
Zvoc/a06QvZd0KF3MnbUto8VLJoRwq0NtNbr9n8XOxIroNulGPYLWGj3sght+yyCVIpEShcKZU+v
33cDIYPqUI1znOfrdFcPBn37XEIXX7dIGj9v0mIbo+kUGF7Xy05ujRe82TYxFBgNSkpUH1+2xocE
W9kTpwNB1HO0untbQ/+KQ5IqAzpFysvX/WESoEQA9eQQ3dVAUqiHbxlI0q+GwUtb9jku2FSE5Yds
G6gh4rWz58PWaZWAd2ncBhCWP70vTEDiBvW3Hb00P7jW/HOekEXNHcsUw/ysM0F2hXq9MLLe0Ukw
to8cBOJToTkNyvvpxVnzPnIA/0xrxqbYsquT8Pxg290RuNM66H18EkNSiebcUBQsbHd0Ej4I0P7z
7cBK0BAqpd70fCZ8uCMougli3e4WGz64WfzjSaAxA0zDpE/1SeAkim6ETRACnoPMXb0jjO2vSxC+
XIaa/BlHRtBDHCoO5guo8F8KnP6FX/pFUJ76Qfz4RE1GvX8Tg/mzX3ilrH78+RvO7RPz+N1vCqry
85v/TV3+r3fMZfWJHffmp69suad3evn7l4/48c3fvdnr53r9x2WwLlflA0IET6zglwc9XSUwnP87
5n+Pq98Zw6Ie9vpvG2jWb6PGP4+OWPn6daA3dGTSkL8/6m8c7n958GT1mJWvA70ZnI2z9eAToav9
Os6bsXm4rceeruJVy1dSvY71Znwuge3Hx5Kx+vCVEniycb9g8LQuV39Ns6re9BbEj1u/xWwd/3Wa
lRvnn6hk6/Hn8V+zrGTxvI71Zv4pFWw9/qLEEWTT4Fx7Ww++H6/T9HWcNw/+Fdt12SQ/svix/ji8
ALVu/egHSb4ug1X8OtTfTy+gktsPj8vy6zBvhv6KHXu0LjfMuaC3b/3UR0HqbTgIBERs67GPV9GG
M0yA579g6Kpab5qTr9igx1n113+n3jpeb5qZr9iiJ6tHDuDXeXizWr5ii56symDT1HzFFhVj59mm
013ABLb+Wk/W6WP2EGw6vQQF8AvGLx/Wj68D/T3vguq1/eAZz/46zpuxv2KbnmQb5+QrdilDY+Gx
HjY8+Vfs1NNVvmGhC2rB1hN+um5XH2NHA0e+Lxj8rFxxBLwO9Obr/Ioteh6vHjbZpgjc9NbTch43
yabgTvuKHXoZEDpWweOGmRG0xK0f/tvqoSQlSOsNd6nosH7BG6R/TdYIam96g6/Yqt9W4g3KdFU+
bjzIRHP0Sz7FLFh7mz7EV+xa8SEW7ICHoHrY9B5fsX3Fexxmq6LZdFuJptmXzNJxE1R/nf0IqnzT
5/iKzSw+x8mqXm8a/yv2M+PXq78mq/LHalPMIHpqXzFTvMcU14oNh7VoVX3VO5TN+DrY32eqaANt
/wb+amNOKNix2w9ODWPj1HzJZg6qKBiy5vU530zMl+zlLF5tih4EgXP7iSEw2WSkK6Cz2w9erxB7
jldN9TrYm6n5kq37J/uyz0T+WKy/2nV/qj790WN468GJ8VE//DgvAsK/9cT/0b9m60dvKBAlm+py
Asey9bN/Z4Rm014VheOtR/+DVcG28/IHFec/D72pLPtL7exjsfZV2HDTn72vRYvfeIjXq/K//gcA
AP//</cx:binary>
              </cx:geoCache>
            </cx:geography>
          </cx:layoutPr>
          <cx:valueColors>
            <cx:minColor>
              <a:schemeClr val="accent1">
                <a:lumMod val="60000"/>
                <a:lumOff val="40000"/>
              </a:schemeClr>
            </cx:minColor>
          </cx:valueColors>
        </cx:series>
      </cx:plotAreaRegion>
    </cx:plotArea>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2.emf"/><Relationship Id="rId7"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6.xml"/><Relationship Id="rId4" Type="http://schemas.openxmlformats.org/officeDocument/2006/relationships/chart" Target="../charts/chart2.xml"/><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26</xdr:col>
      <xdr:colOff>0</xdr:colOff>
      <xdr:row>43</xdr:row>
      <xdr:rowOff>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981200" y="0"/>
          <a:ext cx="13258800" cy="7863840"/>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10886</xdr:colOff>
      <xdr:row>0</xdr:row>
      <xdr:rowOff>0</xdr:rowOff>
    </xdr:from>
    <xdr:to>
      <xdr:col>3</xdr:col>
      <xdr:colOff>10886</xdr:colOff>
      <xdr:row>43</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10886" y="0"/>
          <a:ext cx="1981200" cy="7957457"/>
        </a:xfrm>
        <a:prstGeom prst="rect">
          <a:avLst/>
        </a:prstGeom>
        <a:solidFill>
          <a:schemeClr val="accent5">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206339</xdr:colOff>
      <xdr:row>0</xdr:row>
      <xdr:rowOff>101429</xdr:rowOff>
    </xdr:from>
    <xdr:to>
      <xdr:col>2</xdr:col>
      <xdr:colOff>0</xdr:colOff>
      <xdr:row>3</xdr:row>
      <xdr:rowOff>0</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6339" y="101429"/>
          <a:ext cx="1546261" cy="447211"/>
        </a:xfrm>
        <a:prstGeom prst="rect">
          <a:avLst/>
        </a:prstGeom>
      </xdr:spPr>
    </xdr:pic>
    <xdr:clientData/>
  </xdr:twoCellAnchor>
  <xdr:twoCellAnchor>
    <xdr:from>
      <xdr:col>0</xdr:col>
      <xdr:colOff>117566</xdr:colOff>
      <xdr:row>5</xdr:row>
      <xdr:rowOff>176348</xdr:rowOff>
    </xdr:from>
    <xdr:to>
      <xdr:col>1</xdr:col>
      <xdr:colOff>1031966</xdr:colOff>
      <xdr:row>8</xdr:row>
      <xdr:rowOff>113211</xdr:rowOff>
    </xdr:to>
    <xdr:sp macro="" textlink="'Pivot tables'!G5">
      <xdr:nvSpPr>
        <xdr:cNvPr id="7" name="TextBox 6">
          <a:extLst>
            <a:ext uri="{FF2B5EF4-FFF2-40B4-BE49-F238E27FC236}">
              <a16:creationId xmlns:a16="http://schemas.microsoft.com/office/drawing/2014/main" id="{F8792CBB-D63C-AB7E-6AB5-D0A78D7E7C6D}"/>
            </a:ext>
          </a:extLst>
        </xdr:cNvPr>
        <xdr:cNvSpPr txBox="1"/>
      </xdr:nvSpPr>
      <xdr:spPr>
        <a:xfrm>
          <a:off x="117566" y="1101634"/>
          <a:ext cx="1143000" cy="492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93D90AED-4228-4D71-9A45-8A7494CF1ABF}" type="TxLink">
            <a:rPr lang="en-US" sz="20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rPr>
            <a:pPr algn="l"/>
            <a:t>2,400</a:t>
          </a:fld>
          <a:endParaRPr lang="en-IN" sz="2000" b="1">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ndParaRPr>
        </a:p>
      </xdr:txBody>
    </xdr:sp>
    <xdr:clientData/>
  </xdr:twoCellAnchor>
  <xdr:twoCellAnchor>
    <xdr:from>
      <xdr:col>0</xdr:col>
      <xdr:colOff>132806</xdr:colOff>
      <xdr:row>14</xdr:row>
      <xdr:rowOff>8707</xdr:rowOff>
    </xdr:from>
    <xdr:to>
      <xdr:col>1</xdr:col>
      <xdr:colOff>1321526</xdr:colOff>
      <xdr:row>17</xdr:row>
      <xdr:rowOff>1088</xdr:rowOff>
    </xdr:to>
    <xdr:sp macro="" textlink="'Pivot tables'!I5">
      <xdr:nvSpPr>
        <xdr:cNvPr id="9" name="TextBox 8">
          <a:extLst>
            <a:ext uri="{FF2B5EF4-FFF2-40B4-BE49-F238E27FC236}">
              <a16:creationId xmlns:a16="http://schemas.microsoft.com/office/drawing/2014/main" id="{182FB729-42E8-430E-B484-F5AC5A60BAD6}"/>
            </a:ext>
          </a:extLst>
        </xdr:cNvPr>
        <xdr:cNvSpPr txBox="1"/>
      </xdr:nvSpPr>
      <xdr:spPr>
        <a:xfrm>
          <a:off x="132806" y="2599507"/>
          <a:ext cx="1417320" cy="547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100450E-7C9E-4476-8A27-CE1FE5952B95}" type="TxLink">
            <a:rPr lang="en-US" sz="20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rPr>
            <a:pPr marL="0" indent="0" algn="l"/>
            <a:t>$649.0k</a:t>
          </a:fld>
          <a:endParaRPr lang="en-IN" sz="20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endParaRPr>
        </a:p>
      </xdr:txBody>
    </xdr:sp>
    <xdr:clientData/>
  </xdr:twoCellAnchor>
  <xdr:twoCellAnchor>
    <xdr:from>
      <xdr:col>0</xdr:col>
      <xdr:colOff>140426</xdr:colOff>
      <xdr:row>18</xdr:row>
      <xdr:rowOff>21771</xdr:rowOff>
    </xdr:from>
    <xdr:to>
      <xdr:col>1</xdr:col>
      <xdr:colOff>1054826</xdr:colOff>
      <xdr:row>20</xdr:row>
      <xdr:rowOff>145869</xdr:rowOff>
    </xdr:to>
    <xdr:sp macro="" textlink="'Pivot tables'!J5">
      <xdr:nvSpPr>
        <xdr:cNvPr id="10" name="TextBox 9">
          <a:extLst>
            <a:ext uri="{FF2B5EF4-FFF2-40B4-BE49-F238E27FC236}">
              <a16:creationId xmlns:a16="http://schemas.microsoft.com/office/drawing/2014/main" id="{1B66EB4E-DAB3-4B18-AB2E-99EB78BAF20D}"/>
            </a:ext>
          </a:extLst>
        </xdr:cNvPr>
        <xdr:cNvSpPr txBox="1"/>
      </xdr:nvSpPr>
      <xdr:spPr>
        <a:xfrm>
          <a:off x="140426" y="3352800"/>
          <a:ext cx="1143000" cy="494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9619B51-1FAA-42B0-BE79-DC321D288563}" type="TxLink">
            <a:rPr lang="en-US" sz="20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rPr>
            <a:pPr marL="0" indent="0" algn="l"/>
            <a:t>4.0</a:t>
          </a:fld>
          <a:endParaRPr lang="en-IN" sz="20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endParaRPr>
        </a:p>
      </xdr:txBody>
    </xdr:sp>
    <xdr:clientData/>
  </xdr:twoCellAnchor>
  <xdr:twoCellAnchor>
    <xdr:from>
      <xdr:col>0</xdr:col>
      <xdr:colOff>157843</xdr:colOff>
      <xdr:row>21</xdr:row>
      <xdr:rowOff>183968</xdr:rowOff>
    </xdr:from>
    <xdr:to>
      <xdr:col>1</xdr:col>
      <xdr:colOff>1072243</xdr:colOff>
      <xdr:row>24</xdr:row>
      <xdr:rowOff>123008</xdr:rowOff>
    </xdr:to>
    <xdr:sp macro="" textlink="'Pivot tables'!K5">
      <xdr:nvSpPr>
        <xdr:cNvPr id="11" name="TextBox 10">
          <a:extLst>
            <a:ext uri="{FF2B5EF4-FFF2-40B4-BE49-F238E27FC236}">
              <a16:creationId xmlns:a16="http://schemas.microsoft.com/office/drawing/2014/main" id="{5C7EEF84-E9E2-4BAD-B6AC-F40851DDB962}"/>
            </a:ext>
          </a:extLst>
        </xdr:cNvPr>
        <xdr:cNvSpPr txBox="1"/>
      </xdr:nvSpPr>
      <xdr:spPr>
        <a:xfrm>
          <a:off x="157843" y="4070168"/>
          <a:ext cx="1143000" cy="494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A1BB9DE-F70D-4423-8CF9-E88EC88E15EF}" type="TxLink">
            <a:rPr lang="en-US" sz="20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rPr>
            <a:pPr marL="0" indent="0" algn="l"/>
            <a:t>2.3</a:t>
          </a:fld>
          <a:endParaRPr lang="en-IN" sz="20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endParaRPr>
        </a:p>
      </xdr:txBody>
    </xdr:sp>
    <xdr:clientData/>
  </xdr:twoCellAnchor>
  <xdr:twoCellAnchor>
    <xdr:from>
      <xdr:col>0</xdr:col>
      <xdr:colOff>132806</xdr:colOff>
      <xdr:row>9</xdr:row>
      <xdr:rowOff>182880</xdr:rowOff>
    </xdr:from>
    <xdr:to>
      <xdr:col>1</xdr:col>
      <xdr:colOff>1047206</xdr:colOff>
      <xdr:row>12</xdr:row>
      <xdr:rowOff>119742</xdr:rowOff>
    </xdr:to>
    <xdr:sp macro="" textlink="'Pivot tables'!H5">
      <xdr:nvSpPr>
        <xdr:cNvPr id="13" name="TextBox 12">
          <a:extLst>
            <a:ext uri="{FF2B5EF4-FFF2-40B4-BE49-F238E27FC236}">
              <a16:creationId xmlns:a16="http://schemas.microsoft.com/office/drawing/2014/main" id="{8DC2405F-3B0C-4718-BFF5-471B36751328}"/>
            </a:ext>
          </a:extLst>
        </xdr:cNvPr>
        <xdr:cNvSpPr txBox="1"/>
      </xdr:nvSpPr>
      <xdr:spPr>
        <a:xfrm>
          <a:off x="132806" y="1848394"/>
          <a:ext cx="1143000" cy="492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C9FC9267-697F-41A7-AAB8-97BD6656F0F7}" type="TxLink">
            <a:rPr lang="en-US" sz="20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rPr>
            <a:pPr marL="0" indent="0" algn="l"/>
            <a:t>11,997</a:t>
          </a:fld>
          <a:endParaRPr lang="en-IN" sz="20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endParaRPr>
        </a:p>
      </xdr:txBody>
    </xdr:sp>
    <xdr:clientData/>
  </xdr:twoCellAnchor>
  <xdr:twoCellAnchor>
    <xdr:from>
      <xdr:col>0</xdr:col>
      <xdr:colOff>137161</xdr:colOff>
      <xdr:row>12</xdr:row>
      <xdr:rowOff>32657</xdr:rowOff>
    </xdr:from>
    <xdr:to>
      <xdr:col>1</xdr:col>
      <xdr:colOff>1211581</xdr:colOff>
      <xdr:row>14</xdr:row>
      <xdr:rowOff>179615</xdr:rowOff>
    </xdr:to>
    <xdr:sp macro="" textlink="">
      <xdr:nvSpPr>
        <xdr:cNvPr id="15" name="TextBox 14">
          <a:extLst>
            <a:ext uri="{FF2B5EF4-FFF2-40B4-BE49-F238E27FC236}">
              <a16:creationId xmlns:a16="http://schemas.microsoft.com/office/drawing/2014/main" id="{7F6D8C73-DC82-0804-63D1-64734ADB3941}"/>
            </a:ext>
          </a:extLst>
        </xdr:cNvPr>
        <xdr:cNvSpPr txBox="1"/>
      </xdr:nvSpPr>
      <xdr:spPr>
        <a:xfrm>
          <a:off x="137161" y="2253343"/>
          <a:ext cx="1303020" cy="517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6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rPr>
            <a:t>Amount </a:t>
          </a:r>
          <a:r>
            <a:rPr lang="en-US" sz="16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rPr>
            <a:t>💵</a:t>
          </a:r>
          <a:endParaRPr lang="en-IN" sz="16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endParaRPr>
        </a:p>
      </xdr:txBody>
    </xdr:sp>
    <xdr:clientData/>
  </xdr:twoCellAnchor>
  <xdr:twoCellAnchor>
    <xdr:from>
      <xdr:col>0</xdr:col>
      <xdr:colOff>69668</xdr:colOff>
      <xdr:row>8</xdr:row>
      <xdr:rowOff>14151</xdr:rowOff>
    </xdr:from>
    <xdr:to>
      <xdr:col>1</xdr:col>
      <xdr:colOff>1144088</xdr:colOff>
      <xdr:row>10</xdr:row>
      <xdr:rowOff>161109</xdr:rowOff>
    </xdr:to>
    <xdr:sp macro="" textlink="">
      <xdr:nvSpPr>
        <xdr:cNvPr id="21" name="TextBox 20">
          <a:extLst>
            <a:ext uri="{FF2B5EF4-FFF2-40B4-BE49-F238E27FC236}">
              <a16:creationId xmlns:a16="http://schemas.microsoft.com/office/drawing/2014/main" id="{95180880-4CB7-469E-B9B2-75A9BF2BD854}"/>
            </a:ext>
          </a:extLst>
        </xdr:cNvPr>
        <xdr:cNvSpPr txBox="1"/>
      </xdr:nvSpPr>
      <xdr:spPr>
        <a:xfrm>
          <a:off x="69668" y="1494608"/>
          <a:ext cx="1303020" cy="517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6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rPr>
            <a:t> Quantity </a:t>
          </a:r>
          <a:r>
            <a:rPr lang="en-US" sz="16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rPr>
            <a:t>👕</a:t>
          </a:r>
          <a:endParaRPr lang="en-IN" sz="16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endParaRPr>
        </a:p>
      </xdr:txBody>
    </xdr:sp>
    <xdr:clientData/>
  </xdr:twoCellAnchor>
  <xdr:twoCellAnchor>
    <xdr:from>
      <xdr:col>0</xdr:col>
      <xdr:colOff>151311</xdr:colOff>
      <xdr:row>20</xdr:row>
      <xdr:rowOff>1088</xdr:rowOff>
    </xdr:from>
    <xdr:to>
      <xdr:col>3</xdr:col>
      <xdr:colOff>59871</xdr:colOff>
      <xdr:row>22</xdr:row>
      <xdr:rowOff>163285</xdr:rowOff>
    </xdr:to>
    <xdr:sp macro="" textlink="">
      <xdr:nvSpPr>
        <xdr:cNvPr id="22" name="TextBox 21">
          <a:extLst>
            <a:ext uri="{FF2B5EF4-FFF2-40B4-BE49-F238E27FC236}">
              <a16:creationId xmlns:a16="http://schemas.microsoft.com/office/drawing/2014/main" id="{1CBFFEE5-CD8E-428F-B4DF-D9D0D66F2D71}"/>
            </a:ext>
          </a:extLst>
        </xdr:cNvPr>
        <xdr:cNvSpPr txBox="1"/>
      </xdr:nvSpPr>
      <xdr:spPr>
        <a:xfrm>
          <a:off x="151311" y="3702231"/>
          <a:ext cx="1889760" cy="532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6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rPr>
            <a:t>Avg. days to deliver </a:t>
          </a:r>
          <a:r>
            <a:rPr lang="en-US" sz="16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rPr>
            <a:t>📅</a:t>
          </a:r>
          <a:endParaRPr lang="en-IN" sz="16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endParaRPr>
        </a:p>
      </xdr:txBody>
    </xdr:sp>
    <xdr:clientData/>
  </xdr:twoCellAnchor>
  <xdr:twoCellAnchor>
    <xdr:from>
      <xdr:col>0</xdr:col>
      <xdr:colOff>117566</xdr:colOff>
      <xdr:row>4</xdr:row>
      <xdr:rowOff>23948</xdr:rowOff>
    </xdr:from>
    <xdr:to>
      <xdr:col>1</xdr:col>
      <xdr:colOff>1191986</xdr:colOff>
      <xdr:row>6</xdr:row>
      <xdr:rowOff>170905</xdr:rowOff>
    </xdr:to>
    <xdr:sp macro="" textlink="">
      <xdr:nvSpPr>
        <xdr:cNvPr id="23" name="TextBox 22">
          <a:extLst>
            <a:ext uri="{FF2B5EF4-FFF2-40B4-BE49-F238E27FC236}">
              <a16:creationId xmlns:a16="http://schemas.microsoft.com/office/drawing/2014/main" id="{DF99C2F6-24DA-4876-A353-28EE614D9C7E}"/>
            </a:ext>
          </a:extLst>
        </xdr:cNvPr>
        <xdr:cNvSpPr txBox="1"/>
      </xdr:nvSpPr>
      <xdr:spPr>
        <a:xfrm>
          <a:off x="117566" y="764177"/>
          <a:ext cx="1303020" cy="517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6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rPr>
            <a:t>Orders</a:t>
          </a:r>
          <a:r>
            <a:rPr lang="en-US" sz="16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rPr>
            <a:t>🛒</a:t>
          </a:r>
          <a:endParaRPr lang="en-IN" sz="16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endParaRPr>
        </a:p>
      </xdr:txBody>
    </xdr:sp>
    <xdr:clientData/>
  </xdr:twoCellAnchor>
  <xdr:twoCellAnchor>
    <xdr:from>
      <xdr:col>0</xdr:col>
      <xdr:colOff>137160</xdr:colOff>
      <xdr:row>16</xdr:row>
      <xdr:rowOff>42455</xdr:rowOff>
    </xdr:from>
    <xdr:to>
      <xdr:col>1</xdr:col>
      <xdr:colOff>1211580</xdr:colOff>
      <xdr:row>19</xdr:row>
      <xdr:rowOff>4354</xdr:rowOff>
    </xdr:to>
    <xdr:sp macro="" textlink="">
      <xdr:nvSpPr>
        <xdr:cNvPr id="24" name="TextBox 23">
          <a:extLst>
            <a:ext uri="{FF2B5EF4-FFF2-40B4-BE49-F238E27FC236}">
              <a16:creationId xmlns:a16="http://schemas.microsoft.com/office/drawing/2014/main" id="{5715E890-68B6-48A1-A1C1-14976F3EC637}"/>
            </a:ext>
          </a:extLst>
        </xdr:cNvPr>
        <xdr:cNvSpPr txBox="1"/>
      </xdr:nvSpPr>
      <xdr:spPr>
        <a:xfrm>
          <a:off x="137160" y="3003369"/>
          <a:ext cx="1303020" cy="517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6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rPr>
            <a:t>Avg. Rating </a:t>
          </a:r>
          <a:r>
            <a:rPr lang="en-US" sz="16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rPr>
            <a:t>⭐</a:t>
          </a:r>
          <a:endParaRPr lang="en-IN" sz="16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endParaRPr>
        </a:p>
      </xdr:txBody>
    </xdr:sp>
    <xdr:clientData/>
  </xdr:twoCellAnchor>
  <xdr:twoCellAnchor>
    <xdr:from>
      <xdr:col>3</xdr:col>
      <xdr:colOff>97971</xdr:colOff>
      <xdr:row>0</xdr:row>
      <xdr:rowOff>97970</xdr:rowOff>
    </xdr:from>
    <xdr:to>
      <xdr:col>11</xdr:col>
      <xdr:colOff>272143</xdr:colOff>
      <xdr:row>16</xdr:row>
      <xdr:rowOff>10886</xdr:rowOff>
    </xdr:to>
    <xdr:graphicFrame macro="">
      <xdr:nvGraphicFramePr>
        <xdr:cNvPr id="33" name="Chart 32">
          <a:extLst>
            <a:ext uri="{FF2B5EF4-FFF2-40B4-BE49-F238E27FC236}">
              <a16:creationId xmlns:a16="http://schemas.microsoft.com/office/drawing/2014/main" id="{95B5A8BF-50A4-41D3-9502-42E4860B6A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424543</xdr:colOff>
      <xdr:row>0</xdr:row>
      <xdr:rowOff>141514</xdr:rowOff>
    </xdr:from>
    <xdr:to>
      <xdr:col>19</xdr:col>
      <xdr:colOff>381000</xdr:colOff>
      <xdr:row>16</xdr:row>
      <xdr:rowOff>21772</xdr:rowOff>
    </xdr:to>
    <xdr:sp macro="" textlink="">
      <xdr:nvSpPr>
        <xdr:cNvPr id="39" name="Rectangle 38">
          <a:extLst>
            <a:ext uri="{FF2B5EF4-FFF2-40B4-BE49-F238E27FC236}">
              <a16:creationId xmlns:a16="http://schemas.microsoft.com/office/drawing/2014/main" id="{E76EDA00-9E3C-30A6-16D9-0DD322310AA8}"/>
            </a:ext>
          </a:extLst>
        </xdr:cNvPr>
        <xdr:cNvSpPr/>
      </xdr:nvSpPr>
      <xdr:spPr>
        <a:xfrm>
          <a:off x="6901543" y="141514"/>
          <a:ext cx="4833257" cy="284117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12</xdr:col>
          <xdr:colOff>123108</xdr:colOff>
          <xdr:row>3</xdr:row>
          <xdr:rowOff>113606</xdr:rowOff>
        </xdr:from>
        <xdr:to>
          <xdr:col>18</xdr:col>
          <xdr:colOff>544582</xdr:colOff>
          <xdr:row>14</xdr:row>
          <xdr:rowOff>97970</xdr:rowOff>
        </xdr:to>
        <xdr:pic>
          <xdr:nvPicPr>
            <xdr:cNvPr id="38" name="Picture 37">
              <a:extLst>
                <a:ext uri="{FF2B5EF4-FFF2-40B4-BE49-F238E27FC236}">
                  <a16:creationId xmlns:a16="http://schemas.microsoft.com/office/drawing/2014/main" id="{B32030D4-6BF4-D49F-50E7-4886D4B14500}"/>
                </a:ext>
              </a:extLst>
            </xdr:cNvPr>
            <xdr:cNvPicPr>
              <a:picLocks noChangeAspect="1" noChangeArrowheads="1"/>
              <a:extLst>
                <a:ext uri="{84589F7E-364E-4C9E-8A38-B11213B215E9}">
                  <a14:cameraTool cellRange="'pivot 2'!$H$4:$L$10" spid="_x0000_s1043"/>
                </a:ext>
              </a:extLst>
            </xdr:cNvPicPr>
          </xdr:nvPicPr>
          <xdr:blipFill>
            <a:blip xmlns:r="http://schemas.openxmlformats.org/officeDocument/2006/relationships" r:embed="rId3"/>
            <a:srcRect/>
            <a:stretch>
              <a:fillRect/>
            </a:stretch>
          </xdr:blipFill>
          <xdr:spPr bwMode="auto">
            <a:xfrm>
              <a:off x="7209708" y="668777"/>
              <a:ext cx="4079074" cy="201999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510638</xdr:colOff>
      <xdr:row>0</xdr:row>
      <xdr:rowOff>142736</xdr:rowOff>
    </xdr:from>
    <xdr:to>
      <xdr:col>25</xdr:col>
      <xdr:colOff>76200</xdr:colOff>
      <xdr:row>14</xdr:row>
      <xdr:rowOff>87086</xdr:rowOff>
    </xdr:to>
    <xdr:graphicFrame macro="">
      <xdr:nvGraphicFramePr>
        <xdr:cNvPr id="40" name="Chart 39">
          <a:extLst>
            <a:ext uri="{FF2B5EF4-FFF2-40B4-BE49-F238E27FC236}">
              <a16:creationId xmlns:a16="http://schemas.microsoft.com/office/drawing/2014/main" id="{995306CA-9D40-4D7F-886A-A90F6FE7C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95002</xdr:colOff>
      <xdr:row>16</xdr:row>
      <xdr:rowOff>96982</xdr:rowOff>
    </xdr:from>
    <xdr:to>
      <xdr:col>11</xdr:col>
      <xdr:colOff>318654</xdr:colOff>
      <xdr:row>42</xdr:row>
      <xdr:rowOff>41562</xdr:rowOff>
    </xdr:to>
    <xdr:graphicFrame macro="">
      <xdr:nvGraphicFramePr>
        <xdr:cNvPr id="41" name="Chart 40">
          <a:extLst>
            <a:ext uri="{FF2B5EF4-FFF2-40B4-BE49-F238E27FC236}">
              <a16:creationId xmlns:a16="http://schemas.microsoft.com/office/drawing/2014/main" id="{FAEB81FC-7257-4106-9154-D9A47FBF1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31927</xdr:colOff>
      <xdr:row>34</xdr:row>
      <xdr:rowOff>133726</xdr:rowOff>
    </xdr:from>
    <xdr:to>
      <xdr:col>9</xdr:col>
      <xdr:colOff>124691</xdr:colOff>
      <xdr:row>41</xdr:row>
      <xdr:rowOff>34334</xdr:rowOff>
    </xdr:to>
    <xdr:graphicFrame macro="">
      <xdr:nvGraphicFramePr>
        <xdr:cNvPr id="42" name="Chart 41">
          <a:extLst>
            <a:ext uri="{FF2B5EF4-FFF2-40B4-BE49-F238E27FC236}">
              <a16:creationId xmlns:a16="http://schemas.microsoft.com/office/drawing/2014/main" id="{42343822-B03C-468C-AD44-647853F58E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422134</xdr:colOff>
      <xdr:row>16</xdr:row>
      <xdr:rowOff>141515</xdr:rowOff>
    </xdr:from>
    <xdr:to>
      <xdr:col>19</xdr:col>
      <xdr:colOff>422134</xdr:colOff>
      <xdr:row>42</xdr:row>
      <xdr:rowOff>30463</xdr:rowOff>
    </xdr:to>
    <mc:AlternateContent xmlns:mc="http://schemas.openxmlformats.org/markup-compatibility/2006">
      <mc:Choice xmlns:cx4="http://schemas.microsoft.com/office/drawing/2016/5/10/chartex" Requires="cx4">
        <xdr:graphicFrame macro="">
          <xdr:nvGraphicFramePr>
            <xdr:cNvPr id="43" name="Chart 42">
              <a:extLst>
                <a:ext uri="{FF2B5EF4-FFF2-40B4-BE49-F238E27FC236}">
                  <a16:creationId xmlns:a16="http://schemas.microsoft.com/office/drawing/2014/main" id="{34A44970-A5F1-4754-8BEC-EBC3F64072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899134" y="3067595"/>
              <a:ext cx="4876800" cy="464382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571653</xdr:colOff>
      <xdr:row>21</xdr:row>
      <xdr:rowOff>134932</xdr:rowOff>
    </xdr:from>
    <xdr:to>
      <xdr:col>19</xdr:col>
      <xdr:colOff>86388</xdr:colOff>
      <xdr:row>29</xdr:row>
      <xdr:rowOff>107577</xdr:rowOff>
    </xdr:to>
    <mc:AlternateContent xmlns:mc="http://schemas.openxmlformats.org/markup-compatibility/2006">
      <mc:Choice xmlns:cx4="http://schemas.microsoft.com/office/drawing/2016/5/10/chartex" Requires="cx4">
        <xdr:graphicFrame macro="">
          <xdr:nvGraphicFramePr>
            <xdr:cNvPr id="45" name="Chart 44">
              <a:extLst>
                <a:ext uri="{FF2B5EF4-FFF2-40B4-BE49-F238E27FC236}">
                  <a16:creationId xmlns:a16="http://schemas.microsoft.com/office/drawing/2014/main" id="{40C3AD8B-DDE4-44E6-8719-87471DC3CF6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096653" y="3975412"/>
              <a:ext cx="1343535" cy="143568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540327</xdr:colOff>
      <xdr:row>15</xdr:row>
      <xdr:rowOff>17815</xdr:rowOff>
    </xdr:from>
    <xdr:to>
      <xdr:col>25</xdr:col>
      <xdr:colOff>76200</xdr:colOff>
      <xdr:row>28</xdr:row>
      <xdr:rowOff>87086</xdr:rowOff>
    </xdr:to>
    <xdr:graphicFrame macro="">
      <xdr:nvGraphicFramePr>
        <xdr:cNvPr id="46" name="Chart 45">
          <a:extLst>
            <a:ext uri="{FF2B5EF4-FFF2-40B4-BE49-F238E27FC236}">
              <a16:creationId xmlns:a16="http://schemas.microsoft.com/office/drawing/2014/main" id="{25C241B2-9143-425B-9C2C-CE977652EF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559129</xdr:colOff>
      <xdr:row>29</xdr:row>
      <xdr:rowOff>10886</xdr:rowOff>
    </xdr:from>
    <xdr:to>
      <xdr:col>25</xdr:col>
      <xdr:colOff>60365</xdr:colOff>
      <xdr:row>42</xdr:row>
      <xdr:rowOff>0</xdr:rowOff>
    </xdr:to>
    <xdr:graphicFrame macro="">
      <xdr:nvGraphicFramePr>
        <xdr:cNvPr id="47" name="Chart 46">
          <a:extLst>
            <a:ext uri="{FF2B5EF4-FFF2-40B4-BE49-F238E27FC236}">
              <a16:creationId xmlns:a16="http://schemas.microsoft.com/office/drawing/2014/main" id="{0AE0EC0A-AE42-432A-B1C5-B8A15BF56E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139535</xdr:colOff>
      <xdr:row>24</xdr:row>
      <xdr:rowOff>88077</xdr:rowOff>
    </xdr:from>
    <xdr:to>
      <xdr:col>2</xdr:col>
      <xdr:colOff>108857</xdr:colOff>
      <xdr:row>32</xdr:row>
      <xdr:rowOff>87086</xdr:rowOff>
    </xdr:to>
    <mc:AlternateContent xmlns:mc="http://schemas.openxmlformats.org/markup-compatibility/2006" xmlns:a14="http://schemas.microsoft.com/office/drawing/2010/main">
      <mc:Choice Requires="a14">
        <xdr:graphicFrame macro="">
          <xdr:nvGraphicFramePr>
            <xdr:cNvPr id="48" name="Gender Value">
              <a:extLst>
                <a:ext uri="{FF2B5EF4-FFF2-40B4-BE49-F238E27FC236}">
                  <a16:creationId xmlns:a16="http://schemas.microsoft.com/office/drawing/2014/main" id="{0D27641F-0902-4AC1-8894-ADA81DF6D86B}"/>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39535" y="4529448"/>
              <a:ext cx="1721922" cy="1479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137308</xdr:colOff>
      <xdr:row>33</xdr:row>
      <xdr:rowOff>247</xdr:rowOff>
    </xdr:from>
    <xdr:to>
      <xdr:col>2</xdr:col>
      <xdr:colOff>97971</xdr:colOff>
      <xdr:row>42</xdr:row>
      <xdr:rowOff>87087</xdr:rowOff>
    </xdr:to>
    <mc:AlternateContent xmlns:mc="http://schemas.openxmlformats.org/markup-compatibility/2006" xmlns:a14="http://schemas.microsoft.com/office/drawing/2010/main">
      <mc:Choice Requires="a14">
        <xdr:graphicFrame macro="">
          <xdr:nvGraphicFramePr>
            <xdr:cNvPr id="49" name="Order Mode">
              <a:extLst>
                <a:ext uri="{FF2B5EF4-FFF2-40B4-BE49-F238E27FC236}">
                  <a16:creationId xmlns:a16="http://schemas.microsoft.com/office/drawing/2014/main" id="{6DF06091-AD1B-4B5F-8991-B278C2E3E661}"/>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37308" y="6107133"/>
              <a:ext cx="1713263" cy="1752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476993</xdr:colOff>
      <xdr:row>2</xdr:row>
      <xdr:rowOff>13855</xdr:rowOff>
    </xdr:from>
    <xdr:to>
      <xdr:col>17</xdr:col>
      <xdr:colOff>227611</xdr:colOff>
      <xdr:row>3</xdr:row>
      <xdr:rowOff>1</xdr:rowOff>
    </xdr:to>
    <xdr:sp macro="" textlink="">
      <xdr:nvSpPr>
        <xdr:cNvPr id="50" name="TextBox 49">
          <a:extLst>
            <a:ext uri="{FF2B5EF4-FFF2-40B4-BE49-F238E27FC236}">
              <a16:creationId xmlns:a16="http://schemas.microsoft.com/office/drawing/2014/main" id="{CCBEFDE3-F386-471D-6F60-BEB0FADBABA8}"/>
            </a:ext>
          </a:extLst>
        </xdr:cNvPr>
        <xdr:cNvSpPr txBox="1"/>
      </xdr:nvSpPr>
      <xdr:spPr>
        <a:xfrm>
          <a:off x="7563593" y="383969"/>
          <a:ext cx="2798618" cy="1712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How they like to buy?</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UN SINGH" refreshedDate="46231.564508101852" createdVersion="8" refreshedVersion="8" minRefreshableVersion="3" recordCount="2400" xr:uid="{AAD59487-B603-4DDD-9341-23D77CACBB80}">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20033121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7D0908-87ED-4EB4-BF94-B73E850A260A}" name="popular item pivot"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location ref="E9:J31" firstHeaderRow="1" firstDataRow="2"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sumSubtotal="1">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sum"/>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axis="axisCol"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7"/>
  </colFields>
  <colItems count="5">
    <i>
      <x/>
    </i>
    <i>
      <x v="1"/>
    </i>
    <i>
      <x v="2"/>
    </i>
    <i>
      <x v="3"/>
    </i>
    <i t="grand">
      <x/>
    </i>
  </colItems>
  <dataFields count="1">
    <dataField name="Sum of Quantity" fld="2" baseField="0" baseItem="0"/>
  </dataFields>
  <chartFormats count="4">
    <chartFormat chart="17" format="8" series="1">
      <pivotArea type="data" outline="0" fieldPosition="0">
        <references count="2">
          <reference field="4294967294" count="1" selected="0">
            <x v="0"/>
          </reference>
          <reference field="7" count="1" selected="0">
            <x v="0"/>
          </reference>
        </references>
      </pivotArea>
    </chartFormat>
    <chartFormat chart="17" format="9" series="1">
      <pivotArea type="data" outline="0" fieldPosition="0">
        <references count="2">
          <reference field="4294967294" count="1" selected="0">
            <x v="0"/>
          </reference>
          <reference field="7" count="1" selected="0">
            <x v="1"/>
          </reference>
        </references>
      </pivotArea>
    </chartFormat>
    <chartFormat chart="17" format="10" series="1">
      <pivotArea type="data" outline="0" fieldPosition="0">
        <references count="2">
          <reference field="4294967294" count="1" selected="0">
            <x v="0"/>
          </reference>
          <reference field="7" count="1" selected="0">
            <x v="2"/>
          </reference>
        </references>
      </pivotArea>
    </chartFormat>
    <chartFormat chart="17"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45404D-0F29-493F-9B29-740664C2A36D}" name="pivot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R9:X14"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10" series="1">
      <pivotArea type="data" outline="0" fieldPosition="0">
        <references count="2">
          <reference field="4294967294" count="1" selected="0">
            <x v="0"/>
          </reference>
          <reference field="9" count="1" selected="0">
            <x v="0"/>
          </reference>
        </references>
      </pivotArea>
    </chartFormat>
    <chartFormat chart="10" format="11" series="1">
      <pivotArea type="data" outline="0" fieldPosition="0">
        <references count="2">
          <reference field="4294967294" count="1" selected="0">
            <x v="0"/>
          </reference>
          <reference field="9" count="1" selected="0">
            <x v="1"/>
          </reference>
        </references>
      </pivotArea>
    </chartFormat>
    <chartFormat chart="10" format="12" series="1">
      <pivotArea type="data" outline="0" fieldPosition="0">
        <references count="2">
          <reference field="4294967294" count="1" selected="0">
            <x v="0"/>
          </reference>
          <reference field="9" count="1" selected="0">
            <x v="2"/>
          </reference>
        </references>
      </pivotArea>
    </chartFormat>
    <chartFormat chart="10" format="13" series="1">
      <pivotArea type="data" outline="0" fieldPosition="0">
        <references count="2">
          <reference field="4294967294" count="1" selected="0">
            <x v="0"/>
          </reference>
          <reference field="9" count="1" selected="0">
            <x v="3"/>
          </reference>
        </references>
      </pivotArea>
    </chartFormat>
    <chartFormat chart="10"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03F925-DC70-4A9C-ADEB-37B3A156926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O9:P25"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3"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BB2B43-9DF6-4862-8427-E728D2BECACA}" name="pivot-week"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9:C23" firstHeaderRow="0"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sumSubtotal="1">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sum"/>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4B9D45-C32F-416D-A4B4-90BE00CFAEC8}" name="mapPivo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K34:N92"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1BDB65-6A8B-4FB0-8C00-F4B92CE64499}" name="pivotTable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sumSubtotal="1">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sum"/>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1"/>
    <dataField name="Average of Days to Deliver" fld="1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C40465-2668-4774-9C93-1B3299F58C63}" name="gender pivot"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4">
  <location ref="E34:F39" firstHeaderRow="1"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sumSubtotal="1">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sum"/>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Row"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5">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14" count="1" selected="0">
            <x v="0"/>
          </reference>
        </references>
      </pivotArea>
    </chartFormat>
    <chartFormat chart="23" format="8">
      <pivotArea type="data" outline="0" fieldPosition="0">
        <references count="2">
          <reference field="4294967294" count="1" selected="0">
            <x v="0"/>
          </reference>
          <reference field="14" count="1" selected="0">
            <x v="1"/>
          </reference>
        </references>
      </pivotArea>
    </chartFormat>
    <chartFormat chart="23" format="9">
      <pivotArea type="data" outline="0" fieldPosition="0">
        <references count="2">
          <reference field="4294967294" count="1" selected="0">
            <x v="0"/>
          </reference>
          <reference field="14" count="1" selected="0">
            <x v="2"/>
          </reference>
        </references>
      </pivotArea>
    </chartFormat>
    <chartFormat chart="23"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99ED50-26F1-44F9-97E7-985E3911EDB1}" name="order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L9:M17"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sumSubtotal="1">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sum"/>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axis="axisRow" showAll="0">
      <items count="8">
        <item x="0"/>
        <item x="1"/>
        <item x="2"/>
        <item x="4"/>
        <item sd="0" x="3"/>
        <item n="6 To 10" x="5"/>
        <item n="More than 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3B5BFC0-7C86-42A8-B793-F8E807E50CD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dataField="1"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Count of Gender Value" fld="14"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673D5AF5-EAE6-47C9-ADC9-BB09BED65435}" sourceName="Gender Value">
  <pivotTables>
    <pivotTable tabId="5" name="pivot month"/>
    <pivotTable tabId="5" name="pivotTableSummary"/>
    <pivotTable tabId="5" name="mapPivot"/>
    <pivotTable tabId="5" name="pivot-week"/>
    <pivotTable tabId="5" name="orderQuantity"/>
    <pivotTable tabId="5" name="PivotTable10"/>
  </pivotTables>
  <data>
    <tabular pivotCacheId="2003312187">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B87BB54B-68E7-4578-8425-200934EAF381}" sourceName="Order Mode">
  <pivotTables>
    <pivotTable tabId="5" name="pivot month"/>
    <pivotTable tabId="5" name="gender pivot"/>
    <pivotTable tabId="5" name="mapPivot"/>
    <pivotTable tabId="5" name="orderQuantity"/>
    <pivotTable tabId="5" name="PivotTable10"/>
    <pivotTable tabId="5" name="pivotTableSummary"/>
    <pivotTable tabId="5" name="pivot-week"/>
    <pivotTable tabId="5" name="popular item pivot"/>
  </pivotTables>
  <data>
    <tabular pivotCacheId="2003312187">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xr10:uid="{6B814D4D-D8EC-4BBD-B202-7853AEB98891}" cache="Slicer_Gender_Value" caption="Gender Value" style="SlicerStyleLight5" rowHeight="247650"/>
  <slicer name="Order Mode" xr10:uid="{DE3A35DD-6DBC-4901-98D2-BF5BA09C5E95}" cache="Slicer_Order_Mode" caption="Order Mode" style="SlicerStyleLight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 lavida">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heetViews>
  <sheetFormatPr defaultRowHeight="14.4" x14ac:dyDescent="0.3"/>
  <cols>
    <col min="1" max="1" width="9" bestFit="1" customWidth="1"/>
    <col min="2" max="2" width="19.44140625" bestFit="1" customWidth="1"/>
    <col min="3" max="3" width="10.33203125" bestFit="1" customWidth="1"/>
    <col min="4" max="4" width="11.33203125" bestFit="1" customWidth="1"/>
    <col min="5" max="5" width="9.6640625" bestFit="1" customWidth="1"/>
    <col min="6" max="6" width="12.21875" bestFit="1" customWidth="1"/>
    <col min="7" max="7" width="11.21875" bestFit="1" customWidth="1"/>
    <col min="8" max="8" width="17.88671875" bestFit="1" customWidth="1"/>
    <col min="9" max="9" width="12.88671875" bestFit="1" customWidth="1"/>
    <col min="10" max="10" width="10" bestFit="1" customWidth="1"/>
    <col min="11" max="11" width="8.88671875" bestFit="1" customWidth="1"/>
    <col min="12" max="12" width="20" bestFit="1" customWidth="1"/>
    <col min="13" max="13" width="15.5546875" bestFit="1" customWidth="1"/>
    <col min="14" max="14" width="11.5546875" bestFit="1" customWidth="1"/>
    <col min="15" max="15" width="14.3320312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258AB-4F02-4C44-ACBF-A9D453CEF84D}">
  <dimension ref="A3:Z92"/>
  <sheetViews>
    <sheetView topLeftCell="K1" zoomScale="70" zoomScaleNormal="70" workbookViewId="0">
      <selection activeCell="R25" sqref="R25"/>
    </sheetView>
  </sheetViews>
  <sheetFormatPr defaultRowHeight="14.4" x14ac:dyDescent="0.3"/>
  <cols>
    <col min="1" max="1" width="13.88671875" bestFit="1" customWidth="1"/>
    <col min="2" max="2" width="14.6640625" bestFit="1" customWidth="1"/>
    <col min="3" max="3" width="13.88671875" bestFit="1" customWidth="1"/>
    <col min="4" max="4" width="17.21875" bestFit="1" customWidth="1"/>
    <col min="5" max="5" width="23.33203125" bestFit="1" customWidth="1"/>
    <col min="6" max="6" width="14.21875" bestFit="1" customWidth="1"/>
    <col min="7" max="7" width="19.44140625" bestFit="1" customWidth="1"/>
    <col min="8" max="8" width="14.6640625" bestFit="1" customWidth="1"/>
    <col min="9" max="9" width="8" bestFit="1" customWidth="1"/>
    <col min="10" max="10" width="10.77734375" bestFit="1" customWidth="1"/>
    <col min="11" max="11" width="16.77734375" bestFit="1" customWidth="1"/>
    <col min="12" max="12" width="13.88671875" bestFit="1" customWidth="1"/>
    <col min="13" max="13" width="13" bestFit="1" customWidth="1"/>
    <col min="14" max="15" width="13.88671875" bestFit="1" customWidth="1"/>
    <col min="16" max="16" width="13" bestFit="1" customWidth="1"/>
    <col min="17" max="18" width="13.88671875" bestFit="1" customWidth="1"/>
    <col min="19" max="19" width="17.109375" bestFit="1" customWidth="1"/>
    <col min="20" max="21" width="4.44140625" bestFit="1" customWidth="1"/>
    <col min="22" max="22" width="5.5546875" bestFit="1" customWidth="1"/>
    <col min="23" max="23" width="4.44140625" bestFit="1" customWidth="1"/>
    <col min="24" max="24" width="10.77734375" bestFit="1" customWidth="1"/>
    <col min="25" max="25" width="20.44140625" bestFit="1" customWidth="1"/>
    <col min="26" max="26" width="13.77734375" bestFit="1" customWidth="1"/>
    <col min="27" max="49" width="9.44140625" bestFit="1" customWidth="1"/>
    <col min="50" max="106" width="10" bestFit="1" customWidth="1"/>
    <col min="107" max="107" width="10.77734375" bestFit="1" customWidth="1"/>
  </cols>
  <sheetData>
    <row r="3" spans="1:24" x14ac:dyDescent="0.3">
      <c r="A3" t="s">
        <v>2549</v>
      </c>
      <c r="B3" t="s">
        <v>2550</v>
      </c>
      <c r="C3" t="s">
        <v>2552</v>
      </c>
      <c r="D3" t="s">
        <v>2553</v>
      </c>
      <c r="E3" t="s">
        <v>2554</v>
      </c>
      <c r="G3" t="s">
        <v>2556</v>
      </c>
    </row>
    <row r="4" spans="1:24" x14ac:dyDescent="0.3">
      <c r="A4">
        <v>2400</v>
      </c>
      <c r="B4">
        <v>11997</v>
      </c>
      <c r="C4">
        <v>649019.80000000144</v>
      </c>
      <c r="D4">
        <v>3.9620833333333332</v>
      </c>
      <c r="E4">
        <v>2.3424999999999998</v>
      </c>
      <c r="G4" t="s">
        <v>2557</v>
      </c>
      <c r="H4" t="s">
        <v>2558</v>
      </c>
      <c r="I4" t="s">
        <v>4</v>
      </c>
      <c r="J4" t="s">
        <v>2506</v>
      </c>
      <c r="K4" t="s">
        <v>2559</v>
      </c>
    </row>
    <row r="5" spans="1:24" x14ac:dyDescent="0.3">
      <c r="G5" t="str">
        <f>TEXT(A4,"#,###")</f>
        <v>2,400</v>
      </c>
      <c r="H5" t="str">
        <f>TEXT(B4,"#,##")</f>
        <v>11,997</v>
      </c>
      <c r="I5" t="str">
        <f>TEXT(C4,"$#,##,.0k")</f>
        <v>$649.0k</v>
      </c>
      <c r="J5" t="str">
        <f>TEXT(D4,"0.0")</f>
        <v>4.0</v>
      </c>
      <c r="K5" t="str">
        <f>TEXT(E4,"0.0")</f>
        <v>2.3</v>
      </c>
    </row>
    <row r="9" spans="1:24" x14ac:dyDescent="0.3">
      <c r="A9" s="12" t="s">
        <v>2547</v>
      </c>
      <c r="B9" t="s">
        <v>2550</v>
      </c>
      <c r="C9" t="s">
        <v>2552</v>
      </c>
      <c r="E9" s="12" t="s">
        <v>2550</v>
      </c>
      <c r="F9" s="12" t="s">
        <v>2551</v>
      </c>
      <c r="L9" s="12" t="s">
        <v>2547</v>
      </c>
      <c r="M9" t="s">
        <v>2549</v>
      </c>
      <c r="O9" s="12" t="s">
        <v>2547</v>
      </c>
      <c r="P9" t="s">
        <v>2549</v>
      </c>
      <c r="R9" s="12" t="s">
        <v>2549</v>
      </c>
      <c r="S9" s="12" t="s">
        <v>2551</v>
      </c>
    </row>
    <row r="10" spans="1:24" x14ac:dyDescent="0.3">
      <c r="A10" s="13">
        <v>1</v>
      </c>
      <c r="B10">
        <v>546</v>
      </c>
      <c r="C10" s="15">
        <v>32413.300000000003</v>
      </c>
      <c r="E10" s="12" t="s">
        <v>2547</v>
      </c>
      <c r="G10" t="s">
        <v>27</v>
      </c>
      <c r="H10" t="s">
        <v>23</v>
      </c>
      <c r="I10" t="s">
        <v>89</v>
      </c>
      <c r="J10" t="s">
        <v>2548</v>
      </c>
      <c r="L10" s="13">
        <v>1</v>
      </c>
      <c r="M10">
        <v>397</v>
      </c>
      <c r="O10" s="13">
        <v>0</v>
      </c>
      <c r="P10">
        <v>175</v>
      </c>
      <c r="R10" s="12" t="s">
        <v>2547</v>
      </c>
      <c r="S10">
        <v>1</v>
      </c>
      <c r="T10">
        <v>2</v>
      </c>
      <c r="U10">
        <v>3</v>
      </c>
      <c r="V10">
        <v>4</v>
      </c>
      <c r="W10">
        <v>5</v>
      </c>
      <c r="X10" t="s">
        <v>2548</v>
      </c>
    </row>
    <row r="11" spans="1:24" x14ac:dyDescent="0.3">
      <c r="A11" s="13">
        <v>2</v>
      </c>
      <c r="B11">
        <v>905</v>
      </c>
      <c r="C11" s="15">
        <v>49562.999999999993</v>
      </c>
      <c r="E11" s="13" t="s">
        <v>44</v>
      </c>
      <c r="F11">
        <v>98</v>
      </c>
      <c r="G11">
        <v>744</v>
      </c>
      <c r="H11">
        <v>713</v>
      </c>
      <c r="I11">
        <v>90</v>
      </c>
      <c r="J11">
        <v>1645</v>
      </c>
      <c r="L11" s="13">
        <v>2</v>
      </c>
      <c r="M11">
        <v>540</v>
      </c>
      <c r="O11" s="13">
        <v>1</v>
      </c>
      <c r="P11">
        <v>888</v>
      </c>
      <c r="R11" s="13" t="s">
        <v>2572</v>
      </c>
      <c r="S11">
        <v>7</v>
      </c>
      <c r="T11">
        <v>37</v>
      </c>
      <c r="U11">
        <v>150</v>
      </c>
      <c r="V11">
        <v>312</v>
      </c>
      <c r="W11">
        <v>224</v>
      </c>
      <c r="X11">
        <v>730</v>
      </c>
    </row>
    <row r="12" spans="1:24" x14ac:dyDescent="0.3">
      <c r="A12" s="13">
        <v>3</v>
      </c>
      <c r="B12">
        <v>796</v>
      </c>
      <c r="C12" s="15">
        <v>41700.400000000016</v>
      </c>
      <c r="E12" s="13" t="s">
        <v>39</v>
      </c>
      <c r="F12">
        <v>214</v>
      </c>
      <c r="G12">
        <v>716</v>
      </c>
      <c r="H12">
        <v>598</v>
      </c>
      <c r="I12">
        <v>18</v>
      </c>
      <c r="J12">
        <v>1546</v>
      </c>
      <c r="L12" s="13">
        <v>3</v>
      </c>
      <c r="M12">
        <v>375</v>
      </c>
      <c r="O12" s="13">
        <v>2</v>
      </c>
      <c r="P12">
        <v>538</v>
      </c>
      <c r="R12" s="13" t="s">
        <v>2573</v>
      </c>
      <c r="S12">
        <v>8</v>
      </c>
      <c r="T12">
        <v>51</v>
      </c>
      <c r="U12">
        <v>182</v>
      </c>
      <c r="V12">
        <v>373</v>
      </c>
      <c r="W12">
        <v>247</v>
      </c>
      <c r="X12">
        <v>861</v>
      </c>
    </row>
    <row r="13" spans="1:24" x14ac:dyDescent="0.3">
      <c r="A13" s="13">
        <v>4</v>
      </c>
      <c r="B13">
        <v>913</v>
      </c>
      <c r="C13" s="15">
        <v>46782.599999999984</v>
      </c>
      <c r="E13" s="13" t="s">
        <v>26</v>
      </c>
      <c r="F13">
        <v>137</v>
      </c>
      <c r="G13">
        <v>627</v>
      </c>
      <c r="H13">
        <v>393</v>
      </c>
      <c r="I13">
        <v>29</v>
      </c>
      <c r="J13">
        <v>1186</v>
      </c>
      <c r="L13" s="13">
        <v>4</v>
      </c>
      <c r="M13">
        <v>246</v>
      </c>
      <c r="O13" s="13">
        <v>3</v>
      </c>
      <c r="P13">
        <v>344</v>
      </c>
      <c r="R13" s="13" t="s">
        <v>2574</v>
      </c>
      <c r="S13">
        <v>6</v>
      </c>
      <c r="T13">
        <v>39</v>
      </c>
      <c r="U13">
        <v>163</v>
      </c>
      <c r="V13">
        <v>351</v>
      </c>
      <c r="W13">
        <v>250</v>
      </c>
      <c r="X13">
        <v>809</v>
      </c>
    </row>
    <row r="14" spans="1:24" x14ac:dyDescent="0.3">
      <c r="A14" s="13">
        <v>5</v>
      </c>
      <c r="B14">
        <v>844</v>
      </c>
      <c r="C14" s="15">
        <v>42676.100000000006</v>
      </c>
      <c r="E14" s="13" t="s">
        <v>22</v>
      </c>
      <c r="F14">
        <v>16</v>
      </c>
      <c r="G14">
        <v>568</v>
      </c>
      <c r="H14">
        <v>306</v>
      </c>
      <c r="I14">
        <v>22</v>
      </c>
      <c r="J14">
        <v>912</v>
      </c>
      <c r="L14" s="13">
        <v>5</v>
      </c>
      <c r="M14">
        <v>195</v>
      </c>
      <c r="O14" s="13">
        <v>4</v>
      </c>
      <c r="P14">
        <v>200</v>
      </c>
      <c r="R14" s="13" t="s">
        <v>2548</v>
      </c>
      <c r="S14">
        <v>21</v>
      </c>
      <c r="T14">
        <v>127</v>
      </c>
      <c r="U14">
        <v>495</v>
      </c>
      <c r="V14">
        <v>1036</v>
      </c>
      <c r="W14">
        <v>721</v>
      </c>
      <c r="X14">
        <v>2400</v>
      </c>
    </row>
    <row r="15" spans="1:24" x14ac:dyDescent="0.3">
      <c r="A15" s="13">
        <v>6</v>
      </c>
      <c r="B15">
        <v>1202</v>
      </c>
      <c r="C15" s="15">
        <v>62910.7</v>
      </c>
      <c r="E15" s="13" t="s">
        <v>54</v>
      </c>
      <c r="F15">
        <v>22</v>
      </c>
      <c r="G15">
        <v>482</v>
      </c>
      <c r="H15">
        <v>295</v>
      </c>
      <c r="I15">
        <v>8</v>
      </c>
      <c r="J15">
        <v>807</v>
      </c>
      <c r="L15" s="13" t="s">
        <v>2566</v>
      </c>
      <c r="M15">
        <v>414</v>
      </c>
      <c r="O15" s="13">
        <v>5</v>
      </c>
      <c r="P15">
        <v>94</v>
      </c>
    </row>
    <row r="16" spans="1:24" x14ac:dyDescent="0.3">
      <c r="A16" s="13">
        <v>7</v>
      </c>
      <c r="B16">
        <v>935</v>
      </c>
      <c r="C16" s="15">
        <v>50332.200000000004</v>
      </c>
      <c r="E16" s="13" t="s">
        <v>16</v>
      </c>
      <c r="F16">
        <v>24</v>
      </c>
      <c r="G16">
        <v>428</v>
      </c>
      <c r="H16">
        <v>293</v>
      </c>
      <c r="J16">
        <v>745</v>
      </c>
      <c r="L16" s="13" t="s">
        <v>2567</v>
      </c>
      <c r="M16">
        <v>233</v>
      </c>
      <c r="O16" s="13">
        <v>6</v>
      </c>
      <c r="P16">
        <v>51</v>
      </c>
    </row>
    <row r="17" spans="1:16" x14ac:dyDescent="0.3">
      <c r="A17" s="13">
        <v>8</v>
      </c>
      <c r="B17">
        <v>1128</v>
      </c>
      <c r="C17" s="15">
        <v>58760.599999999977</v>
      </c>
      <c r="E17" s="13" t="s">
        <v>46</v>
      </c>
      <c r="F17">
        <v>39</v>
      </c>
      <c r="G17">
        <v>445</v>
      </c>
      <c r="H17">
        <v>202</v>
      </c>
      <c r="I17">
        <v>14</v>
      </c>
      <c r="J17">
        <v>700</v>
      </c>
      <c r="L17" s="13" t="s">
        <v>2548</v>
      </c>
      <c r="M17">
        <v>2400</v>
      </c>
      <c r="O17" s="13">
        <v>7</v>
      </c>
      <c r="P17">
        <v>32</v>
      </c>
    </row>
    <row r="18" spans="1:16" x14ac:dyDescent="0.3">
      <c r="A18" s="13">
        <v>9</v>
      </c>
      <c r="B18">
        <v>1007</v>
      </c>
      <c r="C18" s="15">
        <v>52017.299999999996</v>
      </c>
      <c r="E18" s="13" t="s">
        <v>32</v>
      </c>
      <c r="F18">
        <v>15</v>
      </c>
      <c r="G18">
        <v>431</v>
      </c>
      <c r="H18">
        <v>187</v>
      </c>
      <c r="I18">
        <v>14</v>
      </c>
      <c r="J18">
        <v>647</v>
      </c>
      <c r="O18" s="13">
        <v>8</v>
      </c>
      <c r="P18">
        <v>23</v>
      </c>
    </row>
    <row r="19" spans="1:16" x14ac:dyDescent="0.3">
      <c r="A19" s="13">
        <v>10</v>
      </c>
      <c r="B19">
        <v>1128</v>
      </c>
      <c r="C19" s="15">
        <v>64915.700000000033</v>
      </c>
      <c r="E19" s="13" t="s">
        <v>42</v>
      </c>
      <c r="F19">
        <v>9</v>
      </c>
      <c r="G19">
        <v>264</v>
      </c>
      <c r="H19">
        <v>318</v>
      </c>
      <c r="I19">
        <v>15</v>
      </c>
      <c r="J19">
        <v>606</v>
      </c>
      <c r="O19" s="13">
        <v>9</v>
      </c>
      <c r="P19">
        <v>9</v>
      </c>
    </row>
    <row r="20" spans="1:16" x14ac:dyDescent="0.3">
      <c r="A20" s="13">
        <v>11</v>
      </c>
      <c r="B20">
        <v>861</v>
      </c>
      <c r="C20" s="15">
        <v>45943.80000000001</v>
      </c>
      <c r="E20" s="13" t="s">
        <v>37</v>
      </c>
      <c r="F20">
        <v>23</v>
      </c>
      <c r="G20">
        <v>296</v>
      </c>
      <c r="H20">
        <v>275</v>
      </c>
      <c r="I20">
        <v>9</v>
      </c>
      <c r="J20">
        <v>603</v>
      </c>
      <c r="O20" s="13">
        <v>10</v>
      </c>
      <c r="P20">
        <v>8</v>
      </c>
    </row>
    <row r="21" spans="1:16" x14ac:dyDescent="0.3">
      <c r="A21" s="13">
        <v>12</v>
      </c>
      <c r="B21">
        <v>944</v>
      </c>
      <c r="C21" s="15">
        <v>55077.900000000031</v>
      </c>
      <c r="E21" s="13" t="s">
        <v>123</v>
      </c>
      <c r="F21">
        <v>8</v>
      </c>
      <c r="G21">
        <v>153</v>
      </c>
      <c r="H21">
        <v>246</v>
      </c>
      <c r="I21">
        <v>30</v>
      </c>
      <c r="J21">
        <v>437</v>
      </c>
      <c r="O21" s="13">
        <v>11</v>
      </c>
      <c r="P21">
        <v>11</v>
      </c>
    </row>
    <row r="22" spans="1:16" x14ac:dyDescent="0.3">
      <c r="A22" s="13">
        <v>13</v>
      </c>
      <c r="B22">
        <v>788</v>
      </c>
      <c r="C22" s="15">
        <v>45926.19999999999</v>
      </c>
      <c r="E22" s="13" t="s">
        <v>146</v>
      </c>
      <c r="F22">
        <v>31</v>
      </c>
      <c r="G22">
        <v>189</v>
      </c>
      <c r="H22">
        <v>168</v>
      </c>
      <c r="I22">
        <v>10</v>
      </c>
      <c r="J22">
        <v>398</v>
      </c>
      <c r="O22" s="13">
        <v>12</v>
      </c>
      <c r="P22">
        <v>4</v>
      </c>
    </row>
    <row r="23" spans="1:16" x14ac:dyDescent="0.3">
      <c r="A23" s="13" t="s">
        <v>2548</v>
      </c>
      <c r="B23">
        <v>11997</v>
      </c>
      <c r="C23" s="15">
        <v>649019.79999999993</v>
      </c>
      <c r="E23" s="13" t="s">
        <v>69</v>
      </c>
      <c r="F23">
        <v>24</v>
      </c>
      <c r="G23">
        <v>234</v>
      </c>
      <c r="H23">
        <v>93</v>
      </c>
      <c r="I23">
        <v>19</v>
      </c>
      <c r="J23">
        <v>370</v>
      </c>
      <c r="O23" s="13">
        <v>13</v>
      </c>
      <c r="P23">
        <v>10</v>
      </c>
    </row>
    <row r="24" spans="1:16" x14ac:dyDescent="0.3">
      <c r="E24" s="13" t="s">
        <v>30</v>
      </c>
      <c r="F24">
        <v>28</v>
      </c>
      <c r="G24">
        <v>146</v>
      </c>
      <c r="H24">
        <v>94</v>
      </c>
      <c r="I24">
        <v>4</v>
      </c>
      <c r="J24">
        <v>272</v>
      </c>
      <c r="O24" s="13">
        <v>14</v>
      </c>
      <c r="P24">
        <v>13</v>
      </c>
    </row>
    <row r="25" spans="1:16" x14ac:dyDescent="0.3">
      <c r="E25" s="13" t="s">
        <v>135</v>
      </c>
      <c r="F25">
        <v>12</v>
      </c>
      <c r="G25">
        <v>127</v>
      </c>
      <c r="H25">
        <v>118</v>
      </c>
      <c r="I25">
        <v>13</v>
      </c>
      <c r="J25">
        <v>270</v>
      </c>
      <c r="O25" s="13" t="s">
        <v>2548</v>
      </c>
      <c r="P25">
        <v>2400</v>
      </c>
    </row>
    <row r="26" spans="1:16" x14ac:dyDescent="0.3">
      <c r="E26" s="13" t="s">
        <v>67</v>
      </c>
      <c r="G26">
        <v>179</v>
      </c>
      <c r="H26">
        <v>76</v>
      </c>
      <c r="I26">
        <v>3</v>
      </c>
      <c r="J26">
        <v>258</v>
      </c>
    </row>
    <row r="27" spans="1:16" x14ac:dyDescent="0.3">
      <c r="E27" s="13" t="s">
        <v>128</v>
      </c>
      <c r="F27">
        <v>24</v>
      </c>
      <c r="G27">
        <v>99</v>
      </c>
      <c r="H27">
        <v>69</v>
      </c>
      <c r="I27">
        <v>3</v>
      </c>
      <c r="J27">
        <v>195</v>
      </c>
    </row>
    <row r="28" spans="1:16" x14ac:dyDescent="0.3">
      <c r="E28" s="13" t="s">
        <v>76</v>
      </c>
      <c r="F28">
        <v>6</v>
      </c>
      <c r="G28">
        <v>75</v>
      </c>
      <c r="H28">
        <v>103</v>
      </c>
      <c r="I28">
        <v>4</v>
      </c>
      <c r="J28">
        <v>188</v>
      </c>
    </row>
    <row r="29" spans="1:16" x14ac:dyDescent="0.3">
      <c r="E29" s="13" t="s">
        <v>81</v>
      </c>
      <c r="F29">
        <v>6</v>
      </c>
      <c r="G29">
        <v>43</v>
      </c>
      <c r="H29">
        <v>90</v>
      </c>
      <c r="I29">
        <v>8</v>
      </c>
      <c r="J29">
        <v>147</v>
      </c>
    </row>
    <row r="30" spans="1:16" x14ac:dyDescent="0.3">
      <c r="E30" s="13" t="s">
        <v>171</v>
      </c>
      <c r="G30">
        <v>26</v>
      </c>
      <c r="H30">
        <v>35</v>
      </c>
      <c r="I30">
        <v>4</v>
      </c>
      <c r="J30">
        <v>65</v>
      </c>
    </row>
    <row r="31" spans="1:16" x14ac:dyDescent="0.3">
      <c r="E31" s="13" t="s">
        <v>2548</v>
      </c>
      <c r="F31">
        <v>736</v>
      </c>
      <c r="G31">
        <v>6272</v>
      </c>
      <c r="H31">
        <v>4672</v>
      </c>
      <c r="I31">
        <v>317</v>
      </c>
      <c r="J31">
        <v>11997</v>
      </c>
    </row>
    <row r="34" spans="5:26" x14ac:dyDescent="0.3">
      <c r="E34" s="12" t="s">
        <v>2547</v>
      </c>
      <c r="F34" t="s">
        <v>2550</v>
      </c>
      <c r="H34" s="14"/>
      <c r="I34" s="14"/>
      <c r="K34" s="12" t="s">
        <v>10</v>
      </c>
      <c r="L34" s="12" t="s">
        <v>11</v>
      </c>
      <c r="M34" t="s">
        <v>2550</v>
      </c>
      <c r="N34" t="s">
        <v>2552</v>
      </c>
      <c r="T34" t="s">
        <v>10</v>
      </c>
      <c r="U34" t="s">
        <v>11</v>
      </c>
      <c r="V34" t="s">
        <v>2550</v>
      </c>
      <c r="W34" t="s">
        <v>2568</v>
      </c>
      <c r="X34" t="s">
        <v>2569</v>
      </c>
      <c r="Y34" t="s">
        <v>2570</v>
      </c>
      <c r="Z34" t="s">
        <v>2571</v>
      </c>
    </row>
    <row r="35" spans="5:26" x14ac:dyDescent="0.3">
      <c r="E35" s="13" t="s">
        <v>2561</v>
      </c>
      <c r="F35">
        <v>6272</v>
      </c>
      <c r="I35" s="15"/>
      <c r="K35" t="s">
        <v>19</v>
      </c>
      <c r="L35" t="s">
        <v>115</v>
      </c>
      <c r="M35">
        <v>579</v>
      </c>
      <c r="N35">
        <v>31884.999999999996</v>
      </c>
      <c r="T35" t="str">
        <f>IF(K35="","",K35)</f>
        <v>California</v>
      </c>
      <c r="U35" t="str">
        <f>IF(L35="","",L35)</f>
        <v>Alameda County</v>
      </c>
      <c r="V35">
        <f>IF(M35=0,"",M35)</f>
        <v>579</v>
      </c>
      <c r="X35" t="str">
        <f>IF(K35="","",K35)</f>
        <v>California</v>
      </c>
      <c r="Y35" t="str">
        <f>IF(L35="","",L35)</f>
        <v>Alameda County</v>
      </c>
      <c r="Z35">
        <f>IF(N35=0,"",N35)</f>
        <v>31884.999999999996</v>
      </c>
    </row>
    <row r="36" spans="5:26" x14ac:dyDescent="0.3">
      <c r="E36" s="13" t="s">
        <v>2562</v>
      </c>
      <c r="F36">
        <v>4672</v>
      </c>
      <c r="I36" s="15"/>
      <c r="K36" t="s">
        <v>19</v>
      </c>
      <c r="L36" t="s">
        <v>20</v>
      </c>
      <c r="M36">
        <v>1</v>
      </c>
      <c r="N36">
        <v>10.9</v>
      </c>
      <c r="T36" t="str">
        <f t="shared" ref="T36:T92" si="0">IF(K36="","",K36)</f>
        <v>California</v>
      </c>
      <c r="U36" t="str">
        <f t="shared" ref="U36:U92" si="1">IF(L36="","",L36)</f>
        <v>Alpine County</v>
      </c>
      <c r="V36">
        <f t="shared" ref="V36:V92" si="2">IF(M36=0,"",M36)</f>
        <v>1</v>
      </c>
      <c r="X36" t="str">
        <f t="shared" ref="X36:X92" si="3">IF(K36="","",K36)</f>
        <v>California</v>
      </c>
      <c r="Y36" t="str">
        <f t="shared" ref="Y36:Y92" si="4">IF(L36="","",L36)</f>
        <v>Alpine County</v>
      </c>
      <c r="Z36">
        <f t="shared" ref="Z36:Z92" si="5">IF(N36=0,"",N36)</f>
        <v>10.9</v>
      </c>
    </row>
    <row r="37" spans="5:26" x14ac:dyDescent="0.3">
      <c r="E37" s="13" t="s">
        <v>2563</v>
      </c>
      <c r="F37">
        <v>317</v>
      </c>
      <c r="I37" s="15"/>
      <c r="K37" t="s">
        <v>19</v>
      </c>
      <c r="L37" t="s">
        <v>641</v>
      </c>
      <c r="M37">
        <v>9</v>
      </c>
      <c r="N37">
        <v>800.3</v>
      </c>
      <c r="T37" t="str">
        <f t="shared" si="0"/>
        <v>California</v>
      </c>
      <c r="U37" t="str">
        <f t="shared" si="1"/>
        <v>Amador County</v>
      </c>
      <c r="V37">
        <f t="shared" si="2"/>
        <v>9</v>
      </c>
      <c r="X37" t="str">
        <f t="shared" si="3"/>
        <v>California</v>
      </c>
      <c r="Y37" t="str">
        <f t="shared" si="4"/>
        <v>Amador County</v>
      </c>
      <c r="Z37">
        <f t="shared" si="5"/>
        <v>800.3</v>
      </c>
    </row>
    <row r="38" spans="5:26" x14ac:dyDescent="0.3">
      <c r="E38" s="13" t="s">
        <v>2564</v>
      </c>
      <c r="F38">
        <v>736</v>
      </c>
      <c r="I38" s="15"/>
      <c r="K38" t="s">
        <v>19</v>
      </c>
      <c r="L38" t="s">
        <v>967</v>
      </c>
      <c r="M38">
        <v>35</v>
      </c>
      <c r="N38">
        <v>1062.5999999999999</v>
      </c>
      <c r="T38" t="str">
        <f t="shared" si="0"/>
        <v>California</v>
      </c>
      <c r="U38" t="str">
        <f t="shared" si="1"/>
        <v>Butte County</v>
      </c>
      <c r="V38">
        <f t="shared" si="2"/>
        <v>35</v>
      </c>
      <c r="X38" t="str">
        <f t="shared" si="3"/>
        <v>California</v>
      </c>
      <c r="Y38" t="str">
        <f t="shared" si="4"/>
        <v>Butte County</v>
      </c>
      <c r="Z38">
        <f t="shared" si="5"/>
        <v>1062.5999999999999</v>
      </c>
    </row>
    <row r="39" spans="5:26" x14ac:dyDescent="0.3">
      <c r="E39" s="13" t="s">
        <v>2548</v>
      </c>
      <c r="F39">
        <v>11997</v>
      </c>
      <c r="I39" s="15"/>
      <c r="K39" t="s">
        <v>19</v>
      </c>
      <c r="L39" t="s">
        <v>84</v>
      </c>
      <c r="M39">
        <v>12</v>
      </c>
      <c r="N39">
        <v>326.20000000000005</v>
      </c>
      <c r="T39" t="str">
        <f t="shared" si="0"/>
        <v>California</v>
      </c>
      <c r="U39" t="str">
        <f t="shared" si="1"/>
        <v>Calaveras County</v>
      </c>
      <c r="V39">
        <f t="shared" si="2"/>
        <v>12</v>
      </c>
      <c r="X39" t="str">
        <f t="shared" si="3"/>
        <v>California</v>
      </c>
      <c r="Y39" t="str">
        <f t="shared" si="4"/>
        <v>Calaveras County</v>
      </c>
      <c r="Z39">
        <f t="shared" si="5"/>
        <v>326.20000000000005</v>
      </c>
    </row>
    <row r="40" spans="5:26" x14ac:dyDescent="0.3">
      <c r="I40" s="15"/>
      <c r="K40" t="s">
        <v>19</v>
      </c>
      <c r="L40" t="s">
        <v>1383</v>
      </c>
      <c r="M40">
        <v>4</v>
      </c>
      <c r="N40">
        <v>167.5</v>
      </c>
      <c r="T40" t="str">
        <f t="shared" si="0"/>
        <v>California</v>
      </c>
      <c r="U40" t="str">
        <f t="shared" si="1"/>
        <v>Colusa County</v>
      </c>
      <c r="V40">
        <f t="shared" si="2"/>
        <v>4</v>
      </c>
      <c r="X40" t="str">
        <f t="shared" si="3"/>
        <v>California</v>
      </c>
      <c r="Y40" t="str">
        <f t="shared" si="4"/>
        <v>Colusa County</v>
      </c>
      <c r="Z40">
        <f t="shared" si="5"/>
        <v>167.5</v>
      </c>
    </row>
    <row r="41" spans="5:26" x14ac:dyDescent="0.3">
      <c r="I41" s="15"/>
      <c r="K41" t="s">
        <v>19</v>
      </c>
      <c r="L41" t="s">
        <v>24</v>
      </c>
      <c r="M41">
        <v>341</v>
      </c>
      <c r="N41">
        <v>16168.7</v>
      </c>
      <c r="T41" t="str">
        <f t="shared" si="0"/>
        <v>California</v>
      </c>
      <c r="U41" t="str">
        <f t="shared" si="1"/>
        <v>Contra Costa County</v>
      </c>
      <c r="V41">
        <f t="shared" si="2"/>
        <v>341</v>
      </c>
      <c r="X41" t="str">
        <f t="shared" si="3"/>
        <v>California</v>
      </c>
      <c r="Y41" t="str">
        <f t="shared" si="4"/>
        <v>Contra Costa County</v>
      </c>
      <c r="Z41">
        <f t="shared" si="5"/>
        <v>16168.7</v>
      </c>
    </row>
    <row r="42" spans="5:26" x14ac:dyDescent="0.3">
      <c r="I42" s="15"/>
      <c r="K42" t="s">
        <v>19</v>
      </c>
      <c r="L42" t="s">
        <v>2204</v>
      </c>
      <c r="M42">
        <v>13</v>
      </c>
      <c r="N42">
        <v>322.40000000000003</v>
      </c>
      <c r="T42" t="str">
        <f t="shared" si="0"/>
        <v>California</v>
      </c>
      <c r="U42" t="str">
        <f t="shared" si="1"/>
        <v>Del Norte County</v>
      </c>
      <c r="V42">
        <f t="shared" si="2"/>
        <v>13</v>
      </c>
      <c r="X42" t="str">
        <f t="shared" si="3"/>
        <v>California</v>
      </c>
      <c r="Y42" t="str">
        <f t="shared" si="4"/>
        <v>Del Norte County</v>
      </c>
      <c r="Z42">
        <f t="shared" si="5"/>
        <v>322.40000000000003</v>
      </c>
    </row>
    <row r="43" spans="5:26" x14ac:dyDescent="0.3">
      <c r="I43" s="15"/>
      <c r="K43" t="s">
        <v>19</v>
      </c>
      <c r="L43" t="s">
        <v>437</v>
      </c>
      <c r="M43">
        <v>31</v>
      </c>
      <c r="N43">
        <v>2092.8000000000002</v>
      </c>
      <c r="T43" t="str">
        <f t="shared" si="0"/>
        <v>California</v>
      </c>
      <c r="U43" t="str">
        <f t="shared" si="1"/>
        <v>El Dorado County</v>
      </c>
      <c r="V43">
        <f t="shared" si="2"/>
        <v>31</v>
      </c>
      <c r="X43" t="str">
        <f t="shared" si="3"/>
        <v>California</v>
      </c>
      <c r="Y43" t="str">
        <f t="shared" si="4"/>
        <v>El Dorado County</v>
      </c>
      <c r="Z43">
        <f t="shared" si="5"/>
        <v>2092.8000000000002</v>
      </c>
    </row>
    <row r="44" spans="5:26" x14ac:dyDescent="0.3">
      <c r="I44" s="15"/>
      <c r="K44" t="s">
        <v>19</v>
      </c>
      <c r="L44" t="s">
        <v>28</v>
      </c>
      <c r="M44">
        <v>279</v>
      </c>
      <c r="N44">
        <v>12662.500000000002</v>
      </c>
      <c r="T44" t="str">
        <f t="shared" si="0"/>
        <v>California</v>
      </c>
      <c r="U44" t="str">
        <f t="shared" si="1"/>
        <v>Fresno County</v>
      </c>
      <c r="V44">
        <f t="shared" si="2"/>
        <v>279</v>
      </c>
      <c r="X44" t="str">
        <f t="shared" si="3"/>
        <v>California</v>
      </c>
      <c r="Y44" t="str">
        <f t="shared" si="4"/>
        <v>Fresno County</v>
      </c>
      <c r="Z44">
        <f t="shared" si="5"/>
        <v>12662.500000000002</v>
      </c>
    </row>
    <row r="45" spans="5:26" x14ac:dyDescent="0.3">
      <c r="I45" s="15"/>
      <c r="K45" t="s">
        <v>19</v>
      </c>
      <c r="L45" t="s">
        <v>208</v>
      </c>
      <c r="M45">
        <v>9</v>
      </c>
      <c r="N45">
        <v>343.2</v>
      </c>
      <c r="T45" t="str">
        <f t="shared" si="0"/>
        <v>California</v>
      </c>
      <c r="U45" t="str">
        <f t="shared" si="1"/>
        <v>Glenn County</v>
      </c>
      <c r="V45">
        <f t="shared" si="2"/>
        <v>9</v>
      </c>
      <c r="X45" t="str">
        <f t="shared" si="3"/>
        <v>California</v>
      </c>
      <c r="Y45" t="str">
        <f t="shared" si="4"/>
        <v>Glenn County</v>
      </c>
      <c r="Z45">
        <f t="shared" si="5"/>
        <v>343.2</v>
      </c>
    </row>
    <row r="46" spans="5:26" x14ac:dyDescent="0.3">
      <c r="I46" s="15"/>
      <c r="K46" t="s">
        <v>19</v>
      </c>
      <c r="L46" t="s">
        <v>587</v>
      </c>
      <c r="M46">
        <v>49</v>
      </c>
      <c r="N46">
        <v>2188.2999999999997</v>
      </c>
      <c r="T46" t="str">
        <f t="shared" si="0"/>
        <v>California</v>
      </c>
      <c r="U46" t="str">
        <f t="shared" si="1"/>
        <v>Humboldt County</v>
      </c>
      <c r="V46">
        <f t="shared" si="2"/>
        <v>49</v>
      </c>
      <c r="X46" t="str">
        <f t="shared" si="3"/>
        <v>California</v>
      </c>
      <c r="Y46" t="str">
        <f t="shared" si="4"/>
        <v>Humboldt County</v>
      </c>
      <c r="Z46">
        <f t="shared" si="5"/>
        <v>2188.2999999999997</v>
      </c>
    </row>
    <row r="47" spans="5:26" x14ac:dyDescent="0.3">
      <c r="I47" s="15"/>
      <c r="K47" t="s">
        <v>19</v>
      </c>
      <c r="L47" t="s">
        <v>331</v>
      </c>
      <c r="M47">
        <v>59</v>
      </c>
      <c r="N47">
        <v>2661.5999999999995</v>
      </c>
      <c r="T47" t="str">
        <f t="shared" si="0"/>
        <v>California</v>
      </c>
      <c r="U47" t="str">
        <f t="shared" si="1"/>
        <v>Imperial County</v>
      </c>
      <c r="V47">
        <f t="shared" si="2"/>
        <v>59</v>
      </c>
      <c r="X47" t="str">
        <f t="shared" si="3"/>
        <v>California</v>
      </c>
      <c r="Y47" t="str">
        <f t="shared" si="4"/>
        <v>Imperial County</v>
      </c>
      <c r="Z47">
        <f t="shared" si="5"/>
        <v>2661.5999999999995</v>
      </c>
    </row>
    <row r="48" spans="5:26" x14ac:dyDescent="0.3">
      <c r="H48" s="27"/>
      <c r="I48" s="28"/>
      <c r="K48" t="s">
        <v>19</v>
      </c>
      <c r="L48" t="s">
        <v>86</v>
      </c>
      <c r="M48">
        <v>8</v>
      </c>
      <c r="N48">
        <v>887.5</v>
      </c>
      <c r="T48" t="str">
        <f t="shared" si="0"/>
        <v>California</v>
      </c>
      <c r="U48" t="str">
        <f t="shared" si="1"/>
        <v>Inyo County</v>
      </c>
      <c r="V48">
        <f t="shared" si="2"/>
        <v>8</v>
      </c>
      <c r="X48" t="str">
        <f t="shared" si="3"/>
        <v>California</v>
      </c>
      <c r="Y48" t="str">
        <f t="shared" si="4"/>
        <v>Inyo County</v>
      </c>
      <c r="Z48">
        <f t="shared" si="5"/>
        <v>887.5</v>
      </c>
    </row>
    <row r="49" spans="11:26" x14ac:dyDescent="0.3">
      <c r="K49" t="s">
        <v>19</v>
      </c>
      <c r="L49" t="s">
        <v>147</v>
      </c>
      <c r="M49">
        <v>222</v>
      </c>
      <c r="N49">
        <v>11354.199999999993</v>
      </c>
      <c r="T49" t="str">
        <f t="shared" si="0"/>
        <v>California</v>
      </c>
      <c r="U49" t="str">
        <f t="shared" si="1"/>
        <v>Kern County</v>
      </c>
      <c r="V49">
        <f t="shared" si="2"/>
        <v>222</v>
      </c>
      <c r="X49" t="str">
        <f t="shared" si="3"/>
        <v>California</v>
      </c>
      <c r="Y49" t="str">
        <f t="shared" si="4"/>
        <v>Kern County</v>
      </c>
      <c r="Z49">
        <f t="shared" si="5"/>
        <v>11354.199999999993</v>
      </c>
    </row>
    <row r="50" spans="11:26" x14ac:dyDescent="0.3">
      <c r="K50" t="s">
        <v>19</v>
      </c>
      <c r="L50" t="s">
        <v>334</v>
      </c>
      <c r="M50">
        <v>36</v>
      </c>
      <c r="N50">
        <v>1558.4</v>
      </c>
      <c r="T50" t="str">
        <f t="shared" si="0"/>
        <v>California</v>
      </c>
      <c r="U50" t="str">
        <f t="shared" si="1"/>
        <v>Kings County</v>
      </c>
      <c r="V50">
        <f t="shared" si="2"/>
        <v>36</v>
      </c>
      <c r="X50" t="str">
        <f t="shared" si="3"/>
        <v>California</v>
      </c>
      <c r="Y50" t="str">
        <f t="shared" si="4"/>
        <v>Kings County</v>
      </c>
      <c r="Z50">
        <f t="shared" si="5"/>
        <v>1558.4</v>
      </c>
    </row>
    <row r="51" spans="11:26" x14ac:dyDescent="0.3">
      <c r="K51" t="s">
        <v>19</v>
      </c>
      <c r="L51" t="s">
        <v>949</v>
      </c>
      <c r="M51">
        <v>30</v>
      </c>
      <c r="N51">
        <v>2223.9</v>
      </c>
      <c r="T51" t="str">
        <f t="shared" si="0"/>
        <v>California</v>
      </c>
      <c r="U51" t="str">
        <f t="shared" si="1"/>
        <v>Lake County</v>
      </c>
      <c r="V51">
        <f t="shared" si="2"/>
        <v>30</v>
      </c>
      <c r="X51" t="str">
        <f t="shared" si="3"/>
        <v>California</v>
      </c>
      <c r="Y51" t="str">
        <f t="shared" si="4"/>
        <v>Lake County</v>
      </c>
      <c r="Z51">
        <f t="shared" si="5"/>
        <v>2223.9</v>
      </c>
    </row>
    <row r="52" spans="11:26" x14ac:dyDescent="0.3">
      <c r="K52" t="s">
        <v>19</v>
      </c>
      <c r="L52" t="s">
        <v>1426</v>
      </c>
      <c r="M52">
        <v>1</v>
      </c>
      <c r="N52">
        <v>26.2</v>
      </c>
      <c r="T52" t="str">
        <f t="shared" si="0"/>
        <v>California</v>
      </c>
      <c r="U52" t="str">
        <f t="shared" si="1"/>
        <v>Lassen County</v>
      </c>
      <c r="V52">
        <f t="shared" si="2"/>
        <v>1</v>
      </c>
      <c r="X52" t="str">
        <f t="shared" si="3"/>
        <v>California</v>
      </c>
      <c r="Y52" t="str">
        <f t="shared" si="4"/>
        <v>Lassen County</v>
      </c>
      <c r="Z52">
        <f t="shared" si="5"/>
        <v>26.2</v>
      </c>
    </row>
    <row r="53" spans="11:26" x14ac:dyDescent="0.3">
      <c r="K53" t="s">
        <v>19</v>
      </c>
      <c r="L53" t="s">
        <v>33</v>
      </c>
      <c r="M53">
        <v>3991</v>
      </c>
      <c r="N53">
        <v>215551.19999999981</v>
      </c>
      <c r="T53" t="str">
        <f t="shared" si="0"/>
        <v>California</v>
      </c>
      <c r="U53" t="str">
        <f t="shared" si="1"/>
        <v>Los Angeles County</v>
      </c>
      <c r="V53">
        <f t="shared" si="2"/>
        <v>3991</v>
      </c>
      <c r="X53" t="str">
        <f t="shared" si="3"/>
        <v>California</v>
      </c>
      <c r="Y53" t="str">
        <f t="shared" si="4"/>
        <v>Los Angeles County</v>
      </c>
      <c r="Z53">
        <f t="shared" si="5"/>
        <v>215551.19999999981</v>
      </c>
    </row>
    <row r="54" spans="11:26" x14ac:dyDescent="0.3">
      <c r="K54" t="s">
        <v>19</v>
      </c>
      <c r="L54" t="s">
        <v>364</v>
      </c>
      <c r="M54">
        <v>45</v>
      </c>
      <c r="N54">
        <v>2687.3999999999996</v>
      </c>
      <c r="T54" t="str">
        <f t="shared" si="0"/>
        <v>California</v>
      </c>
      <c r="U54" t="str">
        <f t="shared" si="1"/>
        <v>Madera County</v>
      </c>
      <c r="V54">
        <f t="shared" si="2"/>
        <v>45</v>
      </c>
      <c r="X54" t="str">
        <f t="shared" si="3"/>
        <v>California</v>
      </c>
      <c r="Y54" t="str">
        <f t="shared" si="4"/>
        <v>Madera County</v>
      </c>
      <c r="Z54">
        <f t="shared" si="5"/>
        <v>2687.3999999999996</v>
      </c>
    </row>
    <row r="55" spans="11:26" x14ac:dyDescent="0.3">
      <c r="K55" t="s">
        <v>19</v>
      </c>
      <c r="L55" t="s">
        <v>545</v>
      </c>
      <c r="M55">
        <v>39</v>
      </c>
      <c r="N55">
        <v>1463.3000000000002</v>
      </c>
      <c r="T55" t="str">
        <f t="shared" si="0"/>
        <v>California</v>
      </c>
      <c r="U55" t="str">
        <f t="shared" si="1"/>
        <v>Marin County</v>
      </c>
      <c r="V55">
        <f t="shared" si="2"/>
        <v>39</v>
      </c>
      <c r="X55" t="str">
        <f t="shared" si="3"/>
        <v>California</v>
      </c>
      <c r="Y55" t="str">
        <f t="shared" si="4"/>
        <v>Marin County</v>
      </c>
      <c r="Z55">
        <f t="shared" si="5"/>
        <v>1463.3000000000002</v>
      </c>
    </row>
    <row r="56" spans="11:26" x14ac:dyDescent="0.3">
      <c r="K56" t="s">
        <v>19</v>
      </c>
      <c r="L56" t="s">
        <v>416</v>
      </c>
      <c r="M56">
        <v>6</v>
      </c>
      <c r="N56">
        <v>445.79999999999995</v>
      </c>
      <c r="T56" t="str">
        <f t="shared" si="0"/>
        <v>California</v>
      </c>
      <c r="U56" t="str">
        <f t="shared" si="1"/>
        <v>Mariposa County</v>
      </c>
      <c r="V56">
        <f t="shared" si="2"/>
        <v>6</v>
      </c>
      <c r="X56" t="str">
        <f t="shared" si="3"/>
        <v>California</v>
      </c>
      <c r="Y56" t="str">
        <f t="shared" si="4"/>
        <v>Mariposa County</v>
      </c>
      <c r="Z56">
        <f t="shared" si="5"/>
        <v>445.79999999999995</v>
      </c>
    </row>
    <row r="57" spans="11:26" x14ac:dyDescent="0.3">
      <c r="K57" t="s">
        <v>19</v>
      </c>
      <c r="L57" t="s">
        <v>258</v>
      </c>
      <c r="M57">
        <v>9</v>
      </c>
      <c r="N57">
        <v>273.59999999999997</v>
      </c>
      <c r="T57" t="str">
        <f t="shared" si="0"/>
        <v>California</v>
      </c>
      <c r="U57" t="str">
        <f t="shared" si="1"/>
        <v>Mendocino County</v>
      </c>
      <c r="V57">
        <f t="shared" si="2"/>
        <v>9</v>
      </c>
      <c r="X57" t="str">
        <f t="shared" si="3"/>
        <v>California</v>
      </c>
      <c r="Y57" t="str">
        <f t="shared" si="4"/>
        <v>Mendocino County</v>
      </c>
      <c r="Z57">
        <f t="shared" si="5"/>
        <v>273.59999999999997</v>
      </c>
    </row>
    <row r="58" spans="11:26" x14ac:dyDescent="0.3">
      <c r="K58" t="s">
        <v>19</v>
      </c>
      <c r="L58" t="s">
        <v>186</v>
      </c>
      <c r="M58">
        <v>60</v>
      </c>
      <c r="N58">
        <v>2690.4</v>
      </c>
      <c r="T58" t="str">
        <f t="shared" si="0"/>
        <v>California</v>
      </c>
      <c r="U58" t="str">
        <f t="shared" si="1"/>
        <v>Merced County</v>
      </c>
      <c r="V58">
        <f t="shared" si="2"/>
        <v>60</v>
      </c>
      <c r="X58" t="str">
        <f t="shared" si="3"/>
        <v>California</v>
      </c>
      <c r="Y58" t="str">
        <f t="shared" si="4"/>
        <v>Merced County</v>
      </c>
      <c r="Z58">
        <f t="shared" si="5"/>
        <v>2690.4</v>
      </c>
    </row>
    <row r="59" spans="11:26" x14ac:dyDescent="0.3">
      <c r="K59" t="s">
        <v>19</v>
      </c>
      <c r="L59" t="s">
        <v>392</v>
      </c>
      <c r="M59">
        <v>2</v>
      </c>
      <c r="N59">
        <v>28.4</v>
      </c>
      <c r="T59" t="str">
        <f t="shared" si="0"/>
        <v>California</v>
      </c>
      <c r="U59" t="str">
        <f t="shared" si="1"/>
        <v>Modoc County</v>
      </c>
      <c r="V59">
        <f t="shared" si="2"/>
        <v>2</v>
      </c>
      <c r="X59" t="str">
        <f t="shared" si="3"/>
        <v>California</v>
      </c>
      <c r="Y59" t="str">
        <f t="shared" si="4"/>
        <v>Modoc County</v>
      </c>
      <c r="Z59">
        <f t="shared" si="5"/>
        <v>28.4</v>
      </c>
    </row>
    <row r="60" spans="11:26" x14ac:dyDescent="0.3">
      <c r="K60" t="s">
        <v>19</v>
      </c>
      <c r="L60" t="s">
        <v>670</v>
      </c>
      <c r="M60">
        <v>4</v>
      </c>
      <c r="N60">
        <v>204.8</v>
      </c>
      <c r="T60" t="str">
        <f t="shared" si="0"/>
        <v>California</v>
      </c>
      <c r="U60" t="str">
        <f t="shared" si="1"/>
        <v>Mono County</v>
      </c>
      <c r="V60">
        <f t="shared" si="2"/>
        <v>4</v>
      </c>
      <c r="X60" t="str">
        <f t="shared" si="3"/>
        <v>California</v>
      </c>
      <c r="Y60" t="str">
        <f t="shared" si="4"/>
        <v>Mono County</v>
      </c>
      <c r="Z60">
        <f t="shared" si="5"/>
        <v>204.8</v>
      </c>
    </row>
    <row r="61" spans="11:26" x14ac:dyDescent="0.3">
      <c r="K61" t="s">
        <v>19</v>
      </c>
      <c r="L61" t="s">
        <v>802</v>
      </c>
      <c r="M61">
        <v>31</v>
      </c>
      <c r="N61">
        <v>1607.8999999999999</v>
      </c>
      <c r="T61" t="str">
        <f t="shared" si="0"/>
        <v>California</v>
      </c>
      <c r="U61" t="str">
        <f t="shared" si="1"/>
        <v>Monterey County</v>
      </c>
      <c r="V61">
        <f t="shared" si="2"/>
        <v>31</v>
      </c>
      <c r="X61" t="str">
        <f t="shared" si="3"/>
        <v>California</v>
      </c>
      <c r="Y61" t="str">
        <f t="shared" si="4"/>
        <v>Monterey County</v>
      </c>
      <c r="Z61">
        <f t="shared" si="5"/>
        <v>1607.8999999999999</v>
      </c>
    </row>
    <row r="62" spans="11:26" x14ac:dyDescent="0.3">
      <c r="K62" t="s">
        <v>19</v>
      </c>
      <c r="L62" t="s">
        <v>98</v>
      </c>
      <c r="M62">
        <v>88</v>
      </c>
      <c r="N62">
        <v>6444.9</v>
      </c>
      <c r="T62" t="str">
        <f t="shared" si="0"/>
        <v>California</v>
      </c>
      <c r="U62" t="str">
        <f t="shared" si="1"/>
        <v>Napa County</v>
      </c>
      <c r="V62">
        <f t="shared" si="2"/>
        <v>88</v>
      </c>
      <c r="X62" t="str">
        <f t="shared" si="3"/>
        <v>California</v>
      </c>
      <c r="Y62" t="str">
        <f t="shared" si="4"/>
        <v>Napa County</v>
      </c>
      <c r="Z62">
        <f t="shared" si="5"/>
        <v>6444.9</v>
      </c>
    </row>
    <row r="63" spans="11:26" x14ac:dyDescent="0.3">
      <c r="K63" t="s">
        <v>19</v>
      </c>
      <c r="L63" t="s">
        <v>49</v>
      </c>
      <c r="M63">
        <v>25</v>
      </c>
      <c r="N63">
        <v>1809.3</v>
      </c>
      <c r="T63" t="str">
        <f t="shared" si="0"/>
        <v>California</v>
      </c>
      <c r="U63" t="str">
        <f t="shared" si="1"/>
        <v>Nevada County</v>
      </c>
      <c r="V63">
        <f t="shared" si="2"/>
        <v>25</v>
      </c>
      <c r="X63" t="str">
        <f t="shared" si="3"/>
        <v>California</v>
      </c>
      <c r="Y63" t="str">
        <f t="shared" si="4"/>
        <v>Nevada County</v>
      </c>
      <c r="Z63">
        <f t="shared" si="5"/>
        <v>1809.3</v>
      </c>
    </row>
    <row r="64" spans="11:26" x14ac:dyDescent="0.3">
      <c r="K64" t="s">
        <v>19</v>
      </c>
      <c r="L64" t="s">
        <v>188</v>
      </c>
      <c r="M64">
        <v>178</v>
      </c>
      <c r="N64">
        <v>9680.399999999996</v>
      </c>
      <c r="T64" t="str">
        <f t="shared" si="0"/>
        <v>California</v>
      </c>
      <c r="U64" t="str">
        <f t="shared" si="1"/>
        <v>Orange County</v>
      </c>
      <c r="V64">
        <f t="shared" si="2"/>
        <v>178</v>
      </c>
      <c r="X64" t="str">
        <f t="shared" si="3"/>
        <v>California</v>
      </c>
      <c r="Y64" t="str">
        <f t="shared" si="4"/>
        <v>Orange County</v>
      </c>
      <c r="Z64">
        <f t="shared" si="5"/>
        <v>9680.399999999996</v>
      </c>
    </row>
    <row r="65" spans="11:26" x14ac:dyDescent="0.3">
      <c r="K65" t="s">
        <v>19</v>
      </c>
      <c r="L65" t="s">
        <v>52</v>
      </c>
      <c r="M65">
        <v>141</v>
      </c>
      <c r="N65">
        <v>9414.7999999999993</v>
      </c>
      <c r="T65" t="str">
        <f t="shared" si="0"/>
        <v>California</v>
      </c>
      <c r="U65" t="str">
        <f t="shared" si="1"/>
        <v>Placer County</v>
      </c>
      <c r="V65">
        <f t="shared" si="2"/>
        <v>141</v>
      </c>
      <c r="X65" t="str">
        <f t="shared" si="3"/>
        <v>California</v>
      </c>
      <c r="Y65" t="str">
        <f t="shared" si="4"/>
        <v>Placer County</v>
      </c>
      <c r="Z65">
        <f t="shared" si="5"/>
        <v>9414.7999999999993</v>
      </c>
    </row>
    <row r="66" spans="11:26" x14ac:dyDescent="0.3">
      <c r="K66" t="s">
        <v>19</v>
      </c>
      <c r="L66" t="s">
        <v>338</v>
      </c>
      <c r="M66">
        <v>6</v>
      </c>
      <c r="N66">
        <v>206.1</v>
      </c>
      <c r="T66" t="str">
        <f t="shared" si="0"/>
        <v>California</v>
      </c>
      <c r="U66" t="str">
        <f t="shared" si="1"/>
        <v>Plumas County</v>
      </c>
      <c r="V66">
        <f t="shared" si="2"/>
        <v>6</v>
      </c>
      <c r="X66" t="str">
        <f t="shared" si="3"/>
        <v>California</v>
      </c>
      <c r="Y66" t="str">
        <f t="shared" si="4"/>
        <v>Plumas County</v>
      </c>
      <c r="Z66">
        <f t="shared" si="5"/>
        <v>206.1</v>
      </c>
    </row>
    <row r="67" spans="11:26" x14ac:dyDescent="0.3">
      <c r="K67" t="s">
        <v>19</v>
      </c>
      <c r="L67" t="s">
        <v>158</v>
      </c>
      <c r="M67">
        <v>178</v>
      </c>
      <c r="N67">
        <v>7691.3</v>
      </c>
      <c r="T67" t="str">
        <f t="shared" si="0"/>
        <v>California</v>
      </c>
      <c r="U67" t="str">
        <f t="shared" si="1"/>
        <v>Riverside County</v>
      </c>
      <c r="V67">
        <f t="shared" si="2"/>
        <v>178</v>
      </c>
      <c r="X67" t="str">
        <f t="shared" si="3"/>
        <v>California</v>
      </c>
      <c r="Y67" t="str">
        <f t="shared" si="4"/>
        <v>Riverside County</v>
      </c>
      <c r="Z67">
        <f t="shared" si="5"/>
        <v>7691.3</v>
      </c>
    </row>
    <row r="68" spans="11:26" x14ac:dyDescent="0.3">
      <c r="K68" t="s">
        <v>19</v>
      </c>
      <c r="L68" t="s">
        <v>55</v>
      </c>
      <c r="M68">
        <v>699</v>
      </c>
      <c r="N68">
        <v>37784.900000000016</v>
      </c>
      <c r="T68" t="str">
        <f t="shared" si="0"/>
        <v>California</v>
      </c>
      <c r="U68" t="str">
        <f t="shared" si="1"/>
        <v>Sacramento County</v>
      </c>
      <c r="V68">
        <f t="shared" si="2"/>
        <v>699</v>
      </c>
      <c r="X68" t="str">
        <f t="shared" si="3"/>
        <v>California</v>
      </c>
      <c r="Y68" t="str">
        <f t="shared" si="4"/>
        <v>Sacramento County</v>
      </c>
      <c r="Z68">
        <f t="shared" si="5"/>
        <v>37784.900000000016</v>
      </c>
    </row>
    <row r="69" spans="11:26" x14ac:dyDescent="0.3">
      <c r="K69" t="s">
        <v>19</v>
      </c>
      <c r="L69" t="s">
        <v>342</v>
      </c>
      <c r="M69">
        <v>23</v>
      </c>
      <c r="N69">
        <v>1129.7</v>
      </c>
      <c r="T69" t="str">
        <f t="shared" si="0"/>
        <v>California</v>
      </c>
      <c r="U69" t="str">
        <f t="shared" si="1"/>
        <v>San Benito County</v>
      </c>
      <c r="V69">
        <f t="shared" si="2"/>
        <v>23</v>
      </c>
      <c r="X69" t="str">
        <f t="shared" si="3"/>
        <v>California</v>
      </c>
      <c r="Y69" t="str">
        <f t="shared" si="4"/>
        <v>San Benito County</v>
      </c>
      <c r="Z69">
        <f t="shared" si="5"/>
        <v>1129.7</v>
      </c>
    </row>
    <row r="70" spans="11:26" x14ac:dyDescent="0.3">
      <c r="K70" t="s">
        <v>19</v>
      </c>
      <c r="L70" t="s">
        <v>59</v>
      </c>
      <c r="M70">
        <v>356</v>
      </c>
      <c r="N70">
        <v>20988.9</v>
      </c>
      <c r="T70" t="str">
        <f t="shared" si="0"/>
        <v>California</v>
      </c>
      <c r="U70" t="str">
        <f t="shared" si="1"/>
        <v>San Bernardino County</v>
      </c>
      <c r="V70">
        <f t="shared" si="2"/>
        <v>356</v>
      </c>
      <c r="X70" t="str">
        <f t="shared" si="3"/>
        <v>California</v>
      </c>
      <c r="Y70" t="str">
        <f t="shared" si="4"/>
        <v>San Bernardino County</v>
      </c>
      <c r="Z70">
        <f t="shared" si="5"/>
        <v>20988.9</v>
      </c>
    </row>
    <row r="71" spans="11:26" x14ac:dyDescent="0.3">
      <c r="K71" t="s">
        <v>19</v>
      </c>
      <c r="L71" t="s">
        <v>62</v>
      </c>
      <c r="M71">
        <v>1768</v>
      </c>
      <c r="N71">
        <v>98367.099999999977</v>
      </c>
      <c r="T71" t="str">
        <f t="shared" si="0"/>
        <v>California</v>
      </c>
      <c r="U71" t="str">
        <f t="shared" si="1"/>
        <v>San Diego County</v>
      </c>
      <c r="V71">
        <f t="shared" si="2"/>
        <v>1768</v>
      </c>
      <c r="X71" t="str">
        <f t="shared" si="3"/>
        <v>California</v>
      </c>
      <c r="Y71" t="str">
        <f t="shared" si="4"/>
        <v>San Diego County</v>
      </c>
      <c r="Z71">
        <f t="shared" si="5"/>
        <v>98367.099999999977</v>
      </c>
    </row>
    <row r="72" spans="11:26" x14ac:dyDescent="0.3">
      <c r="K72" t="s">
        <v>19</v>
      </c>
      <c r="L72" t="s">
        <v>103</v>
      </c>
      <c r="M72">
        <v>307</v>
      </c>
      <c r="N72">
        <v>21911.9</v>
      </c>
      <c r="T72" t="str">
        <f t="shared" si="0"/>
        <v>California</v>
      </c>
      <c r="U72" t="str">
        <f t="shared" si="1"/>
        <v>San Francisco</v>
      </c>
      <c r="V72">
        <f t="shared" si="2"/>
        <v>307</v>
      </c>
      <c r="X72" t="str">
        <f t="shared" si="3"/>
        <v>California</v>
      </c>
      <c r="Y72" t="str">
        <f t="shared" si="4"/>
        <v>San Francisco</v>
      </c>
      <c r="Z72">
        <f t="shared" si="5"/>
        <v>21911.9</v>
      </c>
    </row>
    <row r="73" spans="11:26" x14ac:dyDescent="0.3">
      <c r="K73" t="s">
        <v>19</v>
      </c>
      <c r="L73" t="s">
        <v>201</v>
      </c>
      <c r="M73">
        <v>117</v>
      </c>
      <c r="N73">
        <v>5441.2</v>
      </c>
      <c r="T73" t="str">
        <f t="shared" si="0"/>
        <v>California</v>
      </c>
      <c r="U73" t="str">
        <f t="shared" si="1"/>
        <v>San Joaquin County</v>
      </c>
      <c r="V73">
        <f t="shared" si="2"/>
        <v>117</v>
      </c>
      <c r="X73" t="str">
        <f t="shared" si="3"/>
        <v>California</v>
      </c>
      <c r="Y73" t="str">
        <f t="shared" si="4"/>
        <v>San Joaquin County</v>
      </c>
      <c r="Z73">
        <f t="shared" si="5"/>
        <v>5441.2</v>
      </c>
    </row>
    <row r="74" spans="11:26" x14ac:dyDescent="0.3">
      <c r="K74" t="s">
        <v>19</v>
      </c>
      <c r="L74" t="s">
        <v>429</v>
      </c>
      <c r="M74">
        <v>13</v>
      </c>
      <c r="N74">
        <v>392.8</v>
      </c>
      <c r="T74" t="str">
        <f t="shared" si="0"/>
        <v>California</v>
      </c>
      <c r="U74" t="str">
        <f t="shared" si="1"/>
        <v>San Luis Obispo County</v>
      </c>
      <c r="V74">
        <f t="shared" si="2"/>
        <v>13</v>
      </c>
      <c r="X74" t="str">
        <f t="shared" si="3"/>
        <v>California</v>
      </c>
      <c r="Y74" t="str">
        <f t="shared" si="4"/>
        <v>San Luis Obispo County</v>
      </c>
      <c r="Z74">
        <f t="shared" si="5"/>
        <v>392.8</v>
      </c>
    </row>
    <row r="75" spans="11:26" x14ac:dyDescent="0.3">
      <c r="K75" t="s">
        <v>19</v>
      </c>
      <c r="L75" t="s">
        <v>72</v>
      </c>
      <c r="M75">
        <v>364</v>
      </c>
      <c r="N75">
        <v>16172.000000000005</v>
      </c>
      <c r="T75" t="str">
        <f t="shared" si="0"/>
        <v>California</v>
      </c>
      <c r="U75" t="str">
        <f t="shared" si="1"/>
        <v>San Mateo County</v>
      </c>
      <c r="V75">
        <f t="shared" si="2"/>
        <v>364</v>
      </c>
      <c r="X75" t="str">
        <f t="shared" si="3"/>
        <v>California</v>
      </c>
      <c r="Y75" t="str">
        <f t="shared" si="4"/>
        <v>San Mateo County</v>
      </c>
      <c r="Z75">
        <f t="shared" si="5"/>
        <v>16172.000000000005</v>
      </c>
    </row>
    <row r="76" spans="11:26" x14ac:dyDescent="0.3">
      <c r="K76" t="s">
        <v>19</v>
      </c>
      <c r="L76" t="s">
        <v>74</v>
      </c>
      <c r="M76">
        <v>95</v>
      </c>
      <c r="N76">
        <v>4334.9999999999991</v>
      </c>
      <c r="T76" t="str">
        <f t="shared" si="0"/>
        <v>California</v>
      </c>
      <c r="U76" t="str">
        <f t="shared" si="1"/>
        <v>Santa Barbara County</v>
      </c>
      <c r="V76">
        <f t="shared" si="2"/>
        <v>95</v>
      </c>
      <c r="X76" t="str">
        <f t="shared" si="3"/>
        <v>California</v>
      </c>
      <c r="Y76" t="str">
        <f t="shared" si="4"/>
        <v>Santa Barbara County</v>
      </c>
      <c r="Z76">
        <f t="shared" si="5"/>
        <v>4334.9999999999991</v>
      </c>
    </row>
    <row r="77" spans="11:26" x14ac:dyDescent="0.3">
      <c r="K77" t="s">
        <v>19</v>
      </c>
      <c r="L77" t="s">
        <v>77</v>
      </c>
      <c r="M77">
        <v>737</v>
      </c>
      <c r="N77">
        <v>37449.000000000007</v>
      </c>
      <c r="T77" t="str">
        <f t="shared" si="0"/>
        <v>California</v>
      </c>
      <c r="U77" t="str">
        <f t="shared" si="1"/>
        <v>Santa Clara County</v>
      </c>
      <c r="V77">
        <f t="shared" si="2"/>
        <v>737</v>
      </c>
      <c r="X77" t="str">
        <f t="shared" si="3"/>
        <v>California</v>
      </c>
      <c r="Y77" t="str">
        <f t="shared" si="4"/>
        <v>Santa Clara County</v>
      </c>
      <c r="Z77">
        <f t="shared" si="5"/>
        <v>37449.000000000007</v>
      </c>
    </row>
    <row r="78" spans="11:26" x14ac:dyDescent="0.3">
      <c r="K78" t="s">
        <v>19</v>
      </c>
      <c r="L78" t="s">
        <v>309</v>
      </c>
      <c r="M78">
        <v>39</v>
      </c>
      <c r="N78">
        <v>2447.5</v>
      </c>
      <c r="T78" t="str">
        <f t="shared" si="0"/>
        <v>California</v>
      </c>
      <c r="U78" t="str">
        <f t="shared" si="1"/>
        <v>Santa Cruz County</v>
      </c>
      <c r="V78">
        <f t="shared" si="2"/>
        <v>39</v>
      </c>
      <c r="X78" t="str">
        <f t="shared" si="3"/>
        <v>California</v>
      </c>
      <c r="Y78" t="str">
        <f t="shared" si="4"/>
        <v>Santa Cruz County</v>
      </c>
      <c r="Z78">
        <f t="shared" si="5"/>
        <v>2447.5</v>
      </c>
    </row>
    <row r="79" spans="11:26" x14ac:dyDescent="0.3">
      <c r="K79" t="s">
        <v>19</v>
      </c>
      <c r="L79" t="s">
        <v>1116</v>
      </c>
      <c r="M79">
        <v>56</v>
      </c>
      <c r="N79">
        <v>3391.1</v>
      </c>
      <c r="T79" t="str">
        <f t="shared" si="0"/>
        <v>California</v>
      </c>
      <c r="U79" t="str">
        <f t="shared" si="1"/>
        <v>Shasta County</v>
      </c>
      <c r="V79">
        <f t="shared" si="2"/>
        <v>56</v>
      </c>
      <c r="X79" t="str">
        <f t="shared" si="3"/>
        <v>California</v>
      </c>
      <c r="Y79" t="str">
        <f t="shared" si="4"/>
        <v>Shasta County</v>
      </c>
      <c r="Z79">
        <f t="shared" si="5"/>
        <v>3391.1</v>
      </c>
    </row>
    <row r="80" spans="11:26" x14ac:dyDescent="0.3">
      <c r="K80" t="s">
        <v>19</v>
      </c>
      <c r="L80" t="s">
        <v>700</v>
      </c>
      <c r="M80">
        <v>2</v>
      </c>
      <c r="N80">
        <v>30.8</v>
      </c>
      <c r="T80" t="str">
        <f t="shared" si="0"/>
        <v>California</v>
      </c>
      <c r="U80" t="str">
        <f t="shared" si="1"/>
        <v>Sierra County</v>
      </c>
      <c r="V80">
        <f t="shared" si="2"/>
        <v>2</v>
      </c>
      <c r="X80" t="str">
        <f t="shared" si="3"/>
        <v>California</v>
      </c>
      <c r="Y80" t="str">
        <f t="shared" si="4"/>
        <v>Sierra County</v>
      </c>
      <c r="Z80">
        <f t="shared" si="5"/>
        <v>30.8</v>
      </c>
    </row>
    <row r="81" spans="11:26" x14ac:dyDescent="0.3">
      <c r="K81" t="s">
        <v>19</v>
      </c>
      <c r="L81" t="s">
        <v>268</v>
      </c>
      <c r="M81">
        <v>8</v>
      </c>
      <c r="N81">
        <v>332.3</v>
      </c>
      <c r="T81" t="str">
        <f t="shared" si="0"/>
        <v>California</v>
      </c>
      <c r="U81" t="str">
        <f t="shared" si="1"/>
        <v>Siskiyou County</v>
      </c>
      <c r="V81">
        <f t="shared" si="2"/>
        <v>8</v>
      </c>
      <c r="X81" t="str">
        <f t="shared" si="3"/>
        <v>California</v>
      </c>
      <c r="Y81" t="str">
        <f t="shared" si="4"/>
        <v>Siskiyou County</v>
      </c>
      <c r="Z81">
        <f t="shared" si="5"/>
        <v>332.3</v>
      </c>
    </row>
    <row r="82" spans="11:26" x14ac:dyDescent="0.3">
      <c r="K82" t="s">
        <v>19</v>
      </c>
      <c r="L82" t="s">
        <v>377</v>
      </c>
      <c r="M82">
        <v>52</v>
      </c>
      <c r="N82">
        <v>3175.9999999999995</v>
      </c>
      <c r="T82" t="str">
        <f t="shared" si="0"/>
        <v>California</v>
      </c>
      <c r="U82" t="str">
        <f t="shared" si="1"/>
        <v>Solano County</v>
      </c>
      <c r="V82">
        <f t="shared" si="2"/>
        <v>52</v>
      </c>
      <c r="X82" t="str">
        <f t="shared" si="3"/>
        <v>California</v>
      </c>
      <c r="Y82" t="str">
        <f t="shared" si="4"/>
        <v>Solano County</v>
      </c>
      <c r="Z82">
        <f t="shared" si="5"/>
        <v>3175.9999999999995</v>
      </c>
    </row>
    <row r="83" spans="11:26" x14ac:dyDescent="0.3">
      <c r="K83" t="s">
        <v>19</v>
      </c>
      <c r="L83" t="s">
        <v>108</v>
      </c>
      <c r="M83">
        <v>295</v>
      </c>
      <c r="N83">
        <v>20939.600000000002</v>
      </c>
      <c r="T83" t="str">
        <f t="shared" si="0"/>
        <v>California</v>
      </c>
      <c r="U83" t="str">
        <f t="shared" si="1"/>
        <v>Sonoma County</v>
      </c>
      <c r="V83">
        <f t="shared" si="2"/>
        <v>295</v>
      </c>
      <c r="X83" t="str">
        <f t="shared" si="3"/>
        <v>California</v>
      </c>
      <c r="Y83" t="str">
        <f t="shared" si="4"/>
        <v>Sonoma County</v>
      </c>
      <c r="Z83">
        <f t="shared" si="5"/>
        <v>20939.600000000002</v>
      </c>
    </row>
    <row r="84" spans="11:26" x14ac:dyDescent="0.3">
      <c r="K84" t="s">
        <v>19</v>
      </c>
      <c r="L84" t="s">
        <v>110</v>
      </c>
      <c r="M84">
        <v>195</v>
      </c>
      <c r="N84">
        <v>10185.899999999996</v>
      </c>
      <c r="T84" t="str">
        <f t="shared" si="0"/>
        <v>California</v>
      </c>
      <c r="U84" t="str">
        <f t="shared" si="1"/>
        <v>Stanislaus County</v>
      </c>
      <c r="V84">
        <f t="shared" si="2"/>
        <v>195</v>
      </c>
      <c r="X84" t="str">
        <f t="shared" si="3"/>
        <v>California</v>
      </c>
      <c r="Y84" t="str">
        <f t="shared" si="4"/>
        <v>Stanislaus County</v>
      </c>
      <c r="Z84">
        <f t="shared" si="5"/>
        <v>10185.899999999996</v>
      </c>
    </row>
    <row r="85" spans="11:26" x14ac:dyDescent="0.3">
      <c r="K85" t="s">
        <v>19</v>
      </c>
      <c r="L85" t="s">
        <v>292</v>
      </c>
      <c r="M85">
        <v>20</v>
      </c>
      <c r="N85">
        <v>958.7</v>
      </c>
      <c r="T85" t="str">
        <f t="shared" si="0"/>
        <v>California</v>
      </c>
      <c r="U85" t="str">
        <f t="shared" si="1"/>
        <v>Sutter County</v>
      </c>
      <c r="V85">
        <f t="shared" si="2"/>
        <v>20</v>
      </c>
      <c r="X85" t="str">
        <f t="shared" si="3"/>
        <v>California</v>
      </c>
      <c r="Y85" t="str">
        <f t="shared" si="4"/>
        <v>Sutter County</v>
      </c>
      <c r="Z85">
        <f t="shared" si="5"/>
        <v>958.7</v>
      </c>
    </row>
    <row r="86" spans="11:26" x14ac:dyDescent="0.3">
      <c r="K86" t="s">
        <v>19</v>
      </c>
      <c r="L86" t="s">
        <v>79</v>
      </c>
      <c r="M86">
        <v>6</v>
      </c>
      <c r="N86">
        <v>323</v>
      </c>
      <c r="T86" t="str">
        <f t="shared" si="0"/>
        <v>California</v>
      </c>
      <c r="U86" t="str">
        <f t="shared" si="1"/>
        <v>Tehama County</v>
      </c>
      <c r="V86">
        <f t="shared" si="2"/>
        <v>6</v>
      </c>
      <c r="X86" t="str">
        <f t="shared" si="3"/>
        <v>California</v>
      </c>
      <c r="Y86" t="str">
        <f t="shared" si="4"/>
        <v>Tehama County</v>
      </c>
      <c r="Z86">
        <f t="shared" si="5"/>
        <v>323</v>
      </c>
    </row>
    <row r="87" spans="11:26" x14ac:dyDescent="0.3">
      <c r="K87" t="s">
        <v>19</v>
      </c>
      <c r="L87" t="s">
        <v>608</v>
      </c>
      <c r="M87">
        <v>5</v>
      </c>
      <c r="N87">
        <v>167.70000000000002</v>
      </c>
      <c r="T87" t="str">
        <f t="shared" si="0"/>
        <v>California</v>
      </c>
      <c r="U87" t="str">
        <f t="shared" si="1"/>
        <v>Trinity County</v>
      </c>
      <c r="V87">
        <f t="shared" si="2"/>
        <v>5</v>
      </c>
      <c r="X87" t="str">
        <f t="shared" si="3"/>
        <v>California</v>
      </c>
      <c r="Y87" t="str">
        <f t="shared" si="4"/>
        <v>Trinity County</v>
      </c>
      <c r="Z87">
        <f t="shared" si="5"/>
        <v>167.70000000000002</v>
      </c>
    </row>
    <row r="88" spans="11:26" x14ac:dyDescent="0.3">
      <c r="K88" t="s">
        <v>19</v>
      </c>
      <c r="L88" t="s">
        <v>113</v>
      </c>
      <c r="M88">
        <v>94</v>
      </c>
      <c r="N88">
        <v>3978.5</v>
      </c>
      <c r="T88" t="str">
        <f t="shared" si="0"/>
        <v>California</v>
      </c>
      <c r="U88" t="str">
        <f t="shared" si="1"/>
        <v>Tulare County</v>
      </c>
      <c r="V88">
        <f t="shared" si="2"/>
        <v>94</v>
      </c>
      <c r="X88" t="str">
        <f t="shared" si="3"/>
        <v>California</v>
      </c>
      <c r="Y88" t="str">
        <f t="shared" si="4"/>
        <v>Tulare County</v>
      </c>
      <c r="Z88">
        <f t="shared" si="5"/>
        <v>3978.5</v>
      </c>
    </row>
    <row r="89" spans="11:26" x14ac:dyDescent="0.3">
      <c r="K89" t="s">
        <v>19</v>
      </c>
      <c r="L89" t="s">
        <v>997</v>
      </c>
      <c r="M89">
        <v>28</v>
      </c>
      <c r="N89">
        <v>1405</v>
      </c>
      <c r="T89" t="str">
        <f t="shared" si="0"/>
        <v>California</v>
      </c>
      <c r="U89" t="str">
        <f t="shared" si="1"/>
        <v>Tuolumne County</v>
      </c>
      <c r="V89">
        <f t="shared" si="2"/>
        <v>28</v>
      </c>
      <c r="X89" t="str">
        <f t="shared" si="3"/>
        <v>California</v>
      </c>
      <c r="Y89" t="str">
        <f t="shared" si="4"/>
        <v>Tuolumne County</v>
      </c>
      <c r="Z89">
        <f t="shared" si="5"/>
        <v>1405</v>
      </c>
    </row>
    <row r="90" spans="11:26" x14ac:dyDescent="0.3">
      <c r="K90" t="s">
        <v>19</v>
      </c>
      <c r="L90" t="s">
        <v>82</v>
      </c>
      <c r="M90">
        <v>179</v>
      </c>
      <c r="N90">
        <v>9869.0999999999985</v>
      </c>
      <c r="T90" t="str">
        <f t="shared" si="0"/>
        <v>California</v>
      </c>
      <c r="U90" t="str">
        <f t="shared" si="1"/>
        <v>Ventura County</v>
      </c>
      <c r="V90">
        <f t="shared" si="2"/>
        <v>179</v>
      </c>
      <c r="X90" t="str">
        <f t="shared" si="3"/>
        <v>California</v>
      </c>
      <c r="Y90" t="str">
        <f t="shared" si="4"/>
        <v>Ventura County</v>
      </c>
      <c r="Z90">
        <f t="shared" si="5"/>
        <v>9869.0999999999985</v>
      </c>
    </row>
    <row r="91" spans="11:26" x14ac:dyDescent="0.3">
      <c r="K91" t="s">
        <v>19</v>
      </c>
      <c r="L91" t="s">
        <v>243</v>
      </c>
      <c r="M91">
        <v>15</v>
      </c>
      <c r="N91">
        <v>615.29999999999995</v>
      </c>
      <c r="T91" t="str">
        <f t="shared" si="0"/>
        <v>California</v>
      </c>
      <c r="U91" t="str">
        <f t="shared" si="1"/>
        <v>Yolo County</v>
      </c>
      <c r="V91">
        <f t="shared" si="2"/>
        <v>15</v>
      </c>
      <c r="X91" t="str">
        <f t="shared" si="3"/>
        <v>California</v>
      </c>
      <c r="Y91" t="str">
        <f t="shared" si="4"/>
        <v>Yolo County</v>
      </c>
      <c r="Z91">
        <f t="shared" si="5"/>
        <v>615.29999999999995</v>
      </c>
    </row>
    <row r="92" spans="11:26" x14ac:dyDescent="0.3">
      <c r="K92" t="s">
        <v>19</v>
      </c>
      <c r="L92" t="s">
        <v>1911</v>
      </c>
      <c r="M92">
        <v>3</v>
      </c>
      <c r="N92">
        <v>285</v>
      </c>
      <c r="T92" t="str">
        <f t="shared" si="0"/>
        <v>California</v>
      </c>
      <c r="U92" t="str">
        <f t="shared" si="1"/>
        <v>Yuba County</v>
      </c>
      <c r="V92">
        <f t="shared" si="2"/>
        <v>3</v>
      </c>
      <c r="X92" t="str">
        <f t="shared" si="3"/>
        <v>California</v>
      </c>
      <c r="Y92" t="str">
        <f t="shared" si="4"/>
        <v>Yuba County</v>
      </c>
      <c r="Z92">
        <f t="shared" si="5"/>
        <v>285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93A96-2177-4EE5-BB40-935B2CAFF1FC}">
  <dimension ref="A2:M10"/>
  <sheetViews>
    <sheetView showGridLines="0" workbookViewId="0">
      <selection activeCell="AC13" sqref="AC13"/>
    </sheetView>
  </sheetViews>
  <sheetFormatPr defaultRowHeight="14.4" x14ac:dyDescent="0.3"/>
  <cols>
    <col min="1" max="1" width="19.44140625"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8" max="8" width="10.5546875" bestFit="1" customWidth="1"/>
  </cols>
  <sheetData>
    <row r="2" spans="1:13" x14ac:dyDescent="0.3">
      <c r="H2" t="s">
        <v>2565</v>
      </c>
    </row>
    <row r="3" spans="1:13" x14ac:dyDescent="0.3">
      <c r="A3" s="12" t="s">
        <v>2560</v>
      </c>
      <c r="B3" s="12" t="s">
        <v>2551</v>
      </c>
    </row>
    <row r="4" spans="1:13" ht="15" thickBot="1" x14ac:dyDescent="0.35">
      <c r="A4" s="12" t="s">
        <v>2547</v>
      </c>
      <c r="B4" t="s">
        <v>2561</v>
      </c>
      <c r="C4" t="s">
        <v>2562</v>
      </c>
      <c r="D4" t="s">
        <v>2563</v>
      </c>
      <c r="E4" t="s">
        <v>2564</v>
      </c>
      <c r="F4" t="s">
        <v>2548</v>
      </c>
      <c r="H4" s="19"/>
      <c r="I4" s="25" t="str">
        <f>B4</f>
        <v>Female</v>
      </c>
      <c r="J4" s="25" t="str">
        <f t="shared" ref="J4:L5" si="0">C4</f>
        <v>Male</v>
      </c>
      <c r="K4" s="25" t="str">
        <f t="shared" si="0"/>
        <v>Other</v>
      </c>
      <c r="L4" s="26" t="str">
        <f t="shared" si="0"/>
        <v>Unknown</v>
      </c>
    </row>
    <row r="5" spans="1:13" ht="15.6" thickTop="1" thickBot="1" x14ac:dyDescent="0.35">
      <c r="A5" s="13" t="s">
        <v>18</v>
      </c>
      <c r="B5" s="16">
        <v>0.19</v>
      </c>
      <c r="C5" s="16">
        <v>0.13958333333333334</v>
      </c>
      <c r="D5" s="16">
        <v>1.1666666666666667E-2</v>
      </c>
      <c r="E5" s="16">
        <v>2.0416666666666666E-2</v>
      </c>
      <c r="F5" s="16">
        <v>0.36166666666666669</v>
      </c>
      <c r="H5" s="23" t="str">
        <f>A5</f>
        <v>App</v>
      </c>
      <c r="I5" s="18">
        <f t="shared" ref="I5" si="1">B5</f>
        <v>0.19</v>
      </c>
      <c r="J5" s="18">
        <f t="shared" si="0"/>
        <v>0.13958333333333334</v>
      </c>
      <c r="K5" s="18">
        <f t="shared" si="0"/>
        <v>1.1666666666666667E-2</v>
      </c>
      <c r="L5" s="20">
        <f t="shared" si="0"/>
        <v>2.0416666666666666E-2</v>
      </c>
      <c r="M5" s="17"/>
    </row>
    <row r="6" spans="1:13" ht="15.6" thickTop="1" thickBot="1" x14ac:dyDescent="0.35">
      <c r="A6" s="13" t="s">
        <v>51</v>
      </c>
      <c r="B6" s="16">
        <v>4.9583333333333333E-2</v>
      </c>
      <c r="C6" s="16">
        <v>4.5416666666666668E-2</v>
      </c>
      <c r="D6" s="16">
        <v>1.6666666666666668E-3</v>
      </c>
      <c r="E6" s="16">
        <v>6.6666666666666671E-3</v>
      </c>
      <c r="F6" s="16">
        <v>0.10333333333333333</v>
      </c>
      <c r="H6" s="23" t="str">
        <f t="shared" ref="H6:H10" si="2">A6</f>
        <v>Instagram</v>
      </c>
      <c r="I6" s="18">
        <f t="shared" ref="I6:I10" si="3">B6</f>
        <v>4.9583333333333333E-2</v>
      </c>
      <c r="J6" s="18">
        <f t="shared" ref="J6:J10" si="4">C6</f>
        <v>4.5416666666666668E-2</v>
      </c>
      <c r="K6" s="18">
        <f t="shared" ref="K6:K10" si="5">D6</f>
        <v>1.6666666666666668E-3</v>
      </c>
      <c r="L6" s="20">
        <f t="shared" ref="L6:L10" si="6">E6</f>
        <v>6.6666666666666671E-3</v>
      </c>
      <c r="M6" s="17"/>
    </row>
    <row r="7" spans="1:13" ht="15.6" thickTop="1" thickBot="1" x14ac:dyDescent="0.35">
      <c r="A7" s="13" t="s">
        <v>70</v>
      </c>
      <c r="B7" s="16">
        <v>5.7916666666666665E-2</v>
      </c>
      <c r="C7" s="16">
        <v>4.2083333333333334E-2</v>
      </c>
      <c r="D7" s="16">
        <v>4.5833333333333334E-3</v>
      </c>
      <c r="E7" s="16">
        <v>4.5833333333333334E-3</v>
      </c>
      <c r="F7" s="16">
        <v>0.10916666666666666</v>
      </c>
      <c r="H7" s="23" t="str">
        <f t="shared" si="2"/>
        <v>Partner App</v>
      </c>
      <c r="I7" s="18">
        <f t="shared" si="3"/>
        <v>5.7916666666666665E-2</v>
      </c>
      <c r="J7" s="18">
        <f t="shared" si="4"/>
        <v>4.2083333333333334E-2</v>
      </c>
      <c r="K7" s="18">
        <f t="shared" si="5"/>
        <v>4.5833333333333334E-3</v>
      </c>
      <c r="L7" s="20">
        <f t="shared" si="6"/>
        <v>4.5833333333333334E-3</v>
      </c>
      <c r="M7" s="17"/>
    </row>
    <row r="8" spans="1:13" ht="15.6" thickTop="1" thickBot="1" x14ac:dyDescent="0.35">
      <c r="A8" s="13" t="s">
        <v>40</v>
      </c>
      <c r="B8" s="16">
        <v>9.4166666666666662E-2</v>
      </c>
      <c r="C8" s="16">
        <v>7.6249999999999998E-2</v>
      </c>
      <c r="D8" s="16">
        <v>6.6666666666666671E-3</v>
      </c>
      <c r="E8" s="16">
        <v>1.1666666666666667E-2</v>
      </c>
      <c r="F8" s="16">
        <v>0.18875</v>
      </c>
      <c r="H8" s="23" t="str">
        <f t="shared" si="2"/>
        <v>Target.com</v>
      </c>
      <c r="I8" s="18">
        <f t="shared" si="3"/>
        <v>9.4166666666666662E-2</v>
      </c>
      <c r="J8" s="18">
        <f t="shared" si="4"/>
        <v>7.6249999999999998E-2</v>
      </c>
      <c r="K8" s="18">
        <f t="shared" si="5"/>
        <v>6.6666666666666671E-3</v>
      </c>
      <c r="L8" s="20">
        <f t="shared" si="6"/>
        <v>1.1666666666666667E-2</v>
      </c>
      <c r="M8" s="17"/>
    </row>
    <row r="9" spans="1:13" ht="15.6" thickTop="1" thickBot="1" x14ac:dyDescent="0.35">
      <c r="A9" s="13" t="s">
        <v>35</v>
      </c>
      <c r="B9" s="16">
        <v>0.12125</v>
      </c>
      <c r="C9" s="16">
        <v>9.6250000000000002E-2</v>
      </c>
      <c r="D9" s="16">
        <v>6.6666666666666671E-3</v>
      </c>
      <c r="E9" s="16">
        <v>1.2916666666666667E-2</v>
      </c>
      <c r="F9" s="16">
        <v>0.23708333333333334</v>
      </c>
      <c r="H9" s="23" t="str">
        <f t="shared" si="2"/>
        <v>Website</v>
      </c>
      <c r="I9" s="18">
        <f t="shared" si="3"/>
        <v>0.12125</v>
      </c>
      <c r="J9" s="18">
        <f t="shared" si="4"/>
        <v>9.6250000000000002E-2</v>
      </c>
      <c r="K9" s="18">
        <f t="shared" si="5"/>
        <v>6.6666666666666671E-3</v>
      </c>
      <c r="L9" s="20">
        <f t="shared" si="6"/>
        <v>1.2916666666666667E-2</v>
      </c>
      <c r="M9" s="17"/>
    </row>
    <row r="10" spans="1:13" ht="15" thickTop="1" x14ac:dyDescent="0.3">
      <c r="A10" s="13" t="s">
        <v>2548</v>
      </c>
      <c r="B10" s="16">
        <v>0.51291666666666669</v>
      </c>
      <c r="C10" s="16">
        <v>0.39958333333333335</v>
      </c>
      <c r="D10" s="16">
        <v>3.125E-2</v>
      </c>
      <c r="E10" s="16">
        <v>5.6250000000000001E-2</v>
      </c>
      <c r="F10" s="16">
        <v>1</v>
      </c>
      <c r="H10" s="24" t="str">
        <f t="shared" si="2"/>
        <v>Grand Total</v>
      </c>
      <c r="I10" s="21">
        <f t="shared" si="3"/>
        <v>0.51291666666666669</v>
      </c>
      <c r="J10" s="21">
        <f t="shared" si="4"/>
        <v>0.39958333333333335</v>
      </c>
      <c r="K10" s="21">
        <f t="shared" si="5"/>
        <v>3.125E-2</v>
      </c>
      <c r="L10" s="22">
        <f t="shared" si="6"/>
        <v>5.6250000000000001E-2</v>
      </c>
      <c r="M10" s="17"/>
    </row>
  </sheetData>
  <conditionalFormatting sqref="I5:M10">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F9" sqref="F9"/>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2555</v>
      </c>
    </row>
    <row r="4" spans="2:2" x14ac:dyDescent="0.3">
      <c r="B4" s="4" t="s">
        <v>2504</v>
      </c>
    </row>
    <row r="5" spans="2:2" x14ac:dyDescent="0.3">
      <c r="B5" s="4" t="s">
        <v>2505</v>
      </c>
    </row>
    <row r="6" spans="2:2" x14ac:dyDescent="0.3">
      <c r="B6" s="4" t="s">
        <v>2506</v>
      </c>
    </row>
    <row r="7" spans="2:2" x14ac:dyDescent="0.3">
      <c r="B7" s="4" t="s">
        <v>2507</v>
      </c>
    </row>
    <row r="10" spans="2:2" x14ac:dyDescent="0.3">
      <c r="B10" s="3" t="s">
        <v>2508</v>
      </c>
    </row>
    <row r="11" spans="2:2" x14ac:dyDescent="0.3">
      <c r="B11" t="s">
        <v>2509</v>
      </c>
    </row>
    <row r="12" spans="2:2" x14ac:dyDescent="0.3">
      <c r="B12" t="s">
        <v>2510</v>
      </c>
    </row>
    <row r="13" spans="2:2" x14ac:dyDescent="0.3">
      <c r="B13" t="s">
        <v>2511</v>
      </c>
    </row>
    <row r="14" spans="2:2" x14ac:dyDescent="0.3">
      <c r="B14" t="s">
        <v>2512</v>
      </c>
    </row>
    <row r="15" spans="2:2" x14ac:dyDescent="0.3">
      <c r="B15" t="s">
        <v>2513</v>
      </c>
    </row>
    <row r="16" spans="2:2" x14ac:dyDescent="0.3">
      <c r="B16" t="s">
        <v>2514</v>
      </c>
    </row>
    <row r="17" spans="2:2" x14ac:dyDescent="0.3">
      <c r="B17" t="s">
        <v>2515</v>
      </c>
    </row>
    <row r="18" spans="2:2" x14ac:dyDescent="0.3">
      <c r="B18" t="s">
        <v>2516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showGridLines="0" tabSelected="1" zoomScale="61" zoomScaleNormal="61" workbookViewId="0">
      <selection activeCell="S45" sqref="S45"/>
    </sheetView>
  </sheetViews>
  <sheetFormatPr defaultRowHeight="14.4" x14ac:dyDescent="0.3"/>
  <cols>
    <col min="1" max="1" width="3.33203125" customWidth="1"/>
    <col min="2" max="2" width="22.21875" customWidth="1"/>
    <col min="3" max="4" width="3.33203125" customWidth="1"/>
    <col min="26" max="26" width="3.3320312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3:H24"/>
  <sheetViews>
    <sheetView workbookViewId="0">
      <selection activeCell="H6" sqref="H6"/>
    </sheetView>
  </sheetViews>
  <sheetFormatPr defaultRowHeight="14.4" x14ac:dyDescent="0.3"/>
  <cols>
    <col min="1" max="1" width="3.33203125" customWidth="1"/>
    <col min="8" max="8" width="37.33203125" customWidth="1"/>
  </cols>
  <sheetData>
    <row r="3" spans="2:8" x14ac:dyDescent="0.3">
      <c r="B3" t="s">
        <v>2517</v>
      </c>
    </row>
    <row r="4" spans="2:8" x14ac:dyDescent="0.3">
      <c r="H4" s="11"/>
    </row>
    <row r="5" spans="2:8" x14ac:dyDescent="0.3">
      <c r="B5" t="s">
        <v>2518</v>
      </c>
      <c r="H5" s="11"/>
    </row>
    <row r="6" spans="2:8" x14ac:dyDescent="0.3">
      <c r="B6" s="5"/>
      <c r="C6" t="s">
        <v>2519</v>
      </c>
      <c r="D6" t="s">
        <v>2525</v>
      </c>
    </row>
    <row r="7" spans="2:8" x14ac:dyDescent="0.3">
      <c r="B7" s="6"/>
      <c r="C7" t="s">
        <v>2520</v>
      </c>
      <c r="D7" t="s">
        <v>2526</v>
      </c>
    </row>
    <row r="8" spans="2:8" x14ac:dyDescent="0.3">
      <c r="B8" s="7"/>
      <c r="C8" t="s">
        <v>2521</v>
      </c>
      <c r="D8" t="s">
        <v>2527</v>
      </c>
    </row>
    <row r="9" spans="2:8" x14ac:dyDescent="0.3">
      <c r="B9" s="8"/>
      <c r="C9" t="s">
        <v>2522</v>
      </c>
      <c r="D9" t="s">
        <v>2528</v>
      </c>
    </row>
    <row r="10" spans="2:8" x14ac:dyDescent="0.3">
      <c r="B10" s="9"/>
      <c r="C10" t="s">
        <v>2523</v>
      </c>
      <c r="D10" t="s">
        <v>2529</v>
      </c>
    </row>
    <row r="11" spans="2:8" x14ac:dyDescent="0.3">
      <c r="B11" s="2"/>
      <c r="C11" t="s">
        <v>2524</v>
      </c>
      <c r="D11" t="s">
        <v>2530</v>
      </c>
    </row>
    <row r="13" spans="2:8" x14ac:dyDescent="0.3">
      <c r="B13" t="s">
        <v>2531</v>
      </c>
    </row>
    <row r="14" spans="2:8" x14ac:dyDescent="0.3">
      <c r="B14" t="s">
        <v>2532</v>
      </c>
      <c r="C14" t="s">
        <v>2537</v>
      </c>
    </row>
    <row r="15" spans="2:8" x14ac:dyDescent="0.3">
      <c r="B15" t="s">
        <v>2533</v>
      </c>
      <c r="C15" t="s">
        <v>2</v>
      </c>
    </row>
    <row r="16" spans="2:8" x14ac:dyDescent="0.3">
      <c r="B16" t="s">
        <v>2534</v>
      </c>
      <c r="C16" t="s">
        <v>4</v>
      </c>
    </row>
    <row r="17" spans="2:3" x14ac:dyDescent="0.3">
      <c r="B17" t="s">
        <v>2535</v>
      </c>
      <c r="C17" t="s">
        <v>2538</v>
      </c>
    </row>
    <row r="18" spans="2:3" x14ac:dyDescent="0.3">
      <c r="B18" t="s">
        <v>2536</v>
      </c>
      <c r="C18" t="s">
        <v>2539</v>
      </c>
    </row>
    <row r="21" spans="2:3" x14ac:dyDescent="0.3">
      <c r="B21" t="s">
        <v>2540</v>
      </c>
    </row>
    <row r="22" spans="2:3" x14ac:dyDescent="0.3">
      <c r="B22" t="s">
        <v>2541</v>
      </c>
      <c r="C22" t="s">
        <v>2542</v>
      </c>
    </row>
    <row r="23" spans="2:3" x14ac:dyDescent="0.3">
      <c r="B23" t="s">
        <v>2543</v>
      </c>
      <c r="C23" t="s">
        <v>2544</v>
      </c>
    </row>
    <row r="24" spans="2:3" x14ac:dyDescent="0.3">
      <c r="B24" s="10" t="s">
        <v>2545</v>
      </c>
      <c r="C24" t="s">
        <v>2546</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Pivot tables</vt:lpstr>
      <vt:lpstr>pivot 2</vt:lpstr>
      <vt:lpstr>Questions &amp; KPIs</vt:lpstr>
      <vt:lpstr>Dashboard</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Harsh</cp:lastModifiedBy>
  <dcterms:created xsi:type="dcterms:W3CDTF">2025-06-13T02:42:26Z</dcterms:created>
  <dcterms:modified xsi:type="dcterms:W3CDTF">2026-07-28T12:47:16Z</dcterms:modified>
</cp:coreProperties>
</file>