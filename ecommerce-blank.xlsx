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ra\Downloads\"/>
    </mc:Choice>
  </mc:AlternateContent>
  <xr:revisionPtr revIDLastSave="0" documentId="13_ncr:1_{A42837E6-7DE3-4B2D-9E2B-02C6FB7D1683}" xr6:coauthVersionLast="47" xr6:coauthVersionMax="47" xr10:uidLastSave="{00000000-0000-0000-0000-000000000000}"/>
  <bookViews>
    <workbookView xWindow="-108" yWindow="-108" windowWidth="23256" windowHeight="12456" firstSheet="1" activeTab="4" xr2:uid="{346724B3-1C49-40AE-AA36-C77CF5D6DD09}"/>
  </bookViews>
  <sheets>
    <sheet name="Data" sheetId="1" r:id="rId1"/>
    <sheet name="Pivot tables" sheetId="5" r:id="rId2"/>
    <sheet name="pivot 2" sheetId="6" r:id="rId3"/>
    <sheet name="Questions &amp; KPIs" sheetId="2" r:id="rId4"/>
    <sheet name="Dashboard" sheetId="3" r:id="rId5"/>
    <sheet name="Logo &amp; Colors" sheetId="4" r:id="rId6"/>
  </sheets>
  <definedNames>
    <definedName name="_xlchart.v5.0" hidden="1">'Pivot tables'!$T$34:$U$34</definedName>
    <definedName name="_xlchart.v5.1" hidden="1">'Pivot tables'!$T$35:$U$92</definedName>
    <definedName name="_xlchart.v5.10" hidden="1">'Pivot tables'!$V$34</definedName>
    <definedName name="_xlchart.v5.11" hidden="1">'Pivot tables'!$V$35:$V$92</definedName>
    <definedName name="_xlchart.v5.2" hidden="1">'Pivot tables'!$V$34</definedName>
    <definedName name="_xlchart.v5.3" hidden="1">'Pivot tables'!$V$35:$V$92</definedName>
    <definedName name="_xlchart.v5.4" hidden="1">'Pivot tables'!$X$34:$Y$34</definedName>
    <definedName name="_xlchart.v5.5" hidden="1">'Pivot tables'!$X$35:$Y$92</definedName>
    <definedName name="_xlchart.v5.6" hidden="1">'Pivot tables'!$Z$34</definedName>
    <definedName name="_xlchart.v5.7" hidden="1">'Pivot tables'!$Z$35:$Z$92</definedName>
    <definedName name="_xlchart.v5.8" hidden="1">'Pivot tables'!$T$34:$U$34</definedName>
    <definedName name="_xlchart.v5.9" hidden="1">'Pivot tables'!$T$35:$U$92</definedName>
    <definedName name="Slicer_Gender_Value">#N/A</definedName>
    <definedName name="Slicer_Order_Mode">#N/A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36" i="5" l="1"/>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35" i="5"/>
  <c r="X36" i="5"/>
  <c r="Y36" i="5"/>
  <c r="X37" i="5"/>
  <c r="Y37" i="5"/>
  <c r="X38" i="5"/>
  <c r="Y38" i="5"/>
  <c r="X39" i="5"/>
  <c r="Y39" i="5"/>
  <c r="X40" i="5"/>
  <c r="Y40" i="5"/>
  <c r="X41" i="5"/>
  <c r="Y41" i="5"/>
  <c r="X42" i="5"/>
  <c r="Y42" i="5"/>
  <c r="X43" i="5"/>
  <c r="Y43" i="5"/>
  <c r="X44" i="5"/>
  <c r="Y44" i="5"/>
  <c r="X45" i="5"/>
  <c r="Y45" i="5"/>
  <c r="X46" i="5"/>
  <c r="Y46" i="5"/>
  <c r="X47" i="5"/>
  <c r="Y47" i="5"/>
  <c r="X48" i="5"/>
  <c r="Y48" i="5"/>
  <c r="X49" i="5"/>
  <c r="Y49" i="5"/>
  <c r="X50" i="5"/>
  <c r="Y50" i="5"/>
  <c r="X51" i="5"/>
  <c r="Y51" i="5"/>
  <c r="X52" i="5"/>
  <c r="Y52" i="5"/>
  <c r="X53" i="5"/>
  <c r="Y53" i="5"/>
  <c r="X54" i="5"/>
  <c r="Y54" i="5"/>
  <c r="X55" i="5"/>
  <c r="Y55" i="5"/>
  <c r="X56" i="5"/>
  <c r="Y56" i="5"/>
  <c r="X57" i="5"/>
  <c r="Y57" i="5"/>
  <c r="X58" i="5"/>
  <c r="Y58" i="5"/>
  <c r="X59" i="5"/>
  <c r="Y59" i="5"/>
  <c r="X60" i="5"/>
  <c r="Y60" i="5"/>
  <c r="X61" i="5"/>
  <c r="Y61" i="5"/>
  <c r="X62" i="5"/>
  <c r="Y62" i="5"/>
  <c r="X63" i="5"/>
  <c r="Y63" i="5"/>
  <c r="X64" i="5"/>
  <c r="Y64" i="5"/>
  <c r="X65" i="5"/>
  <c r="Y65" i="5"/>
  <c r="X66" i="5"/>
  <c r="Y66" i="5"/>
  <c r="X67" i="5"/>
  <c r="Y67" i="5"/>
  <c r="X68" i="5"/>
  <c r="Y68" i="5"/>
  <c r="X69" i="5"/>
  <c r="Y69" i="5"/>
  <c r="X70" i="5"/>
  <c r="Y70" i="5"/>
  <c r="X71" i="5"/>
  <c r="Y71" i="5"/>
  <c r="X72" i="5"/>
  <c r="Y72" i="5"/>
  <c r="X73" i="5"/>
  <c r="Y73" i="5"/>
  <c r="X74" i="5"/>
  <c r="Y74" i="5"/>
  <c r="X75" i="5"/>
  <c r="Y75" i="5"/>
  <c r="X76" i="5"/>
  <c r="Y76" i="5"/>
  <c r="X77" i="5"/>
  <c r="Y77" i="5"/>
  <c r="X78" i="5"/>
  <c r="Y78" i="5"/>
  <c r="X79" i="5"/>
  <c r="Y79" i="5"/>
  <c r="X80" i="5"/>
  <c r="Y80" i="5"/>
  <c r="X81" i="5"/>
  <c r="Y81" i="5"/>
  <c r="X82" i="5"/>
  <c r="Y82" i="5"/>
  <c r="X83" i="5"/>
  <c r="Y83" i="5"/>
  <c r="X84" i="5"/>
  <c r="Y84" i="5"/>
  <c r="X85" i="5"/>
  <c r="Y85" i="5"/>
  <c r="X86" i="5"/>
  <c r="Y86" i="5"/>
  <c r="X87" i="5"/>
  <c r="Y87" i="5"/>
  <c r="X88" i="5"/>
  <c r="Y88" i="5"/>
  <c r="X89" i="5"/>
  <c r="Y89" i="5"/>
  <c r="X90" i="5"/>
  <c r="Y90" i="5"/>
  <c r="X91" i="5"/>
  <c r="Y91" i="5"/>
  <c r="X92" i="5"/>
  <c r="Y92" i="5"/>
  <c r="Y35" i="5"/>
  <c r="X35" i="5"/>
  <c r="T36" i="5"/>
  <c r="U36" i="5"/>
  <c r="T37" i="5"/>
  <c r="U37" i="5"/>
  <c r="T38" i="5"/>
  <c r="U38" i="5"/>
  <c r="T39" i="5"/>
  <c r="U39" i="5"/>
  <c r="T40" i="5"/>
  <c r="U40" i="5"/>
  <c r="T41" i="5"/>
  <c r="U41" i="5"/>
  <c r="T42" i="5"/>
  <c r="U42" i="5"/>
  <c r="T43" i="5"/>
  <c r="U43" i="5"/>
  <c r="T44" i="5"/>
  <c r="U44" i="5"/>
  <c r="T45" i="5"/>
  <c r="U45" i="5"/>
  <c r="T46" i="5"/>
  <c r="U46" i="5"/>
  <c r="T47" i="5"/>
  <c r="U47" i="5"/>
  <c r="T48" i="5"/>
  <c r="U48" i="5"/>
  <c r="T49" i="5"/>
  <c r="U49" i="5"/>
  <c r="T50" i="5"/>
  <c r="U50" i="5"/>
  <c r="T51" i="5"/>
  <c r="U51" i="5"/>
  <c r="T52" i="5"/>
  <c r="U52" i="5"/>
  <c r="T53" i="5"/>
  <c r="U53" i="5"/>
  <c r="T54" i="5"/>
  <c r="U54" i="5"/>
  <c r="T55" i="5"/>
  <c r="U55" i="5"/>
  <c r="T56" i="5"/>
  <c r="U56" i="5"/>
  <c r="T57" i="5"/>
  <c r="U57" i="5"/>
  <c r="T58" i="5"/>
  <c r="U58" i="5"/>
  <c r="T59" i="5"/>
  <c r="U59" i="5"/>
  <c r="T60" i="5"/>
  <c r="U60" i="5"/>
  <c r="T61" i="5"/>
  <c r="U61" i="5"/>
  <c r="T62" i="5"/>
  <c r="U62" i="5"/>
  <c r="T63" i="5"/>
  <c r="U63" i="5"/>
  <c r="T64" i="5"/>
  <c r="U64" i="5"/>
  <c r="T65" i="5"/>
  <c r="U65" i="5"/>
  <c r="T66" i="5"/>
  <c r="U66" i="5"/>
  <c r="T67" i="5"/>
  <c r="U67" i="5"/>
  <c r="T68" i="5"/>
  <c r="U68" i="5"/>
  <c r="T69" i="5"/>
  <c r="U69" i="5"/>
  <c r="T70" i="5"/>
  <c r="U70" i="5"/>
  <c r="T71" i="5"/>
  <c r="U71" i="5"/>
  <c r="T72" i="5"/>
  <c r="U72" i="5"/>
  <c r="T73" i="5"/>
  <c r="U73" i="5"/>
  <c r="T74" i="5"/>
  <c r="U74" i="5"/>
  <c r="T75" i="5"/>
  <c r="U75" i="5"/>
  <c r="T76" i="5"/>
  <c r="U76" i="5"/>
  <c r="T77" i="5"/>
  <c r="U77" i="5"/>
  <c r="T78" i="5"/>
  <c r="U78" i="5"/>
  <c r="T79" i="5"/>
  <c r="U79" i="5"/>
  <c r="T80" i="5"/>
  <c r="U80" i="5"/>
  <c r="T81" i="5"/>
  <c r="U81" i="5"/>
  <c r="T82" i="5"/>
  <c r="U82" i="5"/>
  <c r="T83" i="5"/>
  <c r="U83" i="5"/>
  <c r="T84" i="5"/>
  <c r="U84" i="5"/>
  <c r="T85" i="5"/>
  <c r="U85" i="5"/>
  <c r="T86" i="5"/>
  <c r="U86" i="5"/>
  <c r="T87" i="5"/>
  <c r="U87" i="5"/>
  <c r="T88" i="5"/>
  <c r="U88" i="5"/>
  <c r="T89" i="5"/>
  <c r="U89" i="5"/>
  <c r="T90" i="5"/>
  <c r="U90" i="5"/>
  <c r="T91" i="5"/>
  <c r="U91" i="5"/>
  <c r="T92" i="5"/>
  <c r="U92" i="5"/>
  <c r="U35" i="5"/>
  <c r="T35" i="5"/>
  <c r="I6" i="6"/>
  <c r="J6" i="6"/>
  <c r="K6" i="6"/>
  <c r="L6" i="6"/>
  <c r="I7" i="6"/>
  <c r="J7" i="6"/>
  <c r="K7" i="6"/>
  <c r="L7" i="6"/>
  <c r="I8" i="6"/>
  <c r="J8" i="6"/>
  <c r="K8" i="6"/>
  <c r="L8" i="6"/>
  <c r="I9" i="6"/>
  <c r="J9" i="6"/>
  <c r="K9" i="6"/>
  <c r="L9" i="6"/>
  <c r="I10" i="6"/>
  <c r="J10" i="6"/>
  <c r="K10" i="6"/>
  <c r="L10" i="6"/>
  <c r="J5" i="6"/>
  <c r="K5" i="6"/>
  <c r="L5" i="6"/>
  <c r="J4" i="6"/>
  <c r="K4" i="6"/>
  <c r="L4" i="6"/>
  <c r="I4" i="6"/>
  <c r="I5" i="6"/>
  <c r="H6" i="6"/>
  <c r="H7" i="6"/>
  <c r="H8" i="6"/>
  <c r="H9" i="6"/>
  <c r="H10" i="6"/>
  <c r="H5" i="6"/>
  <c r="K5" i="5"/>
  <c r="J5" i="5"/>
  <c r="I5" i="5"/>
  <c r="H5" i="5"/>
  <c r="G5"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c r="O2327" i="1" a="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c r="O2235" i="1" a="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c r="O2194" i="1" a="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c r="O2155" i="1" a="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c r="O2119" i="1" a="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c r="O2099" i="1" a="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c r="O2091" i="1" a="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c r="O2082" i="1" a="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c r="O2068" i="1" a="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c r="O2015" i="1" a="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c r="O1983" i="1" a="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a="1"/>
  <c r="O1972" i="1" s="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c r="O1954" i="1" a="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c r="O1835" i="1" a="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c r="O1799" i="1" a="1"/>
  <c r="N1799" i="1"/>
  <c r="M1799" i="1"/>
  <c r="O1798" i="1" a="1"/>
  <c r="O1798" i="1" s="1"/>
  <c r="N1798" i="1"/>
  <c r="M1798" i="1"/>
  <c r="O1797" i="1"/>
  <c r="O1797" i="1" a="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c r="O1750" i="1" a="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c r="O1681" i="1" a="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c r="O1667" i="1" a="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c r="O1598" i="1" a="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c r="O1558" i="1" a="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c r="O1549" i="1" a="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c r="O1114" i="1" a="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c r="O903" i="1" a="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c r="O893" i="1" a="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c r="O875" i="1" a="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c r="O766" i="1" a="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c r="O511" i="1" a="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c r="O496" i="1" a="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a="1"/>
  <c r="O490" i="1" s="1"/>
  <c r="N490" i="1"/>
  <c r="M490" i="1"/>
  <c r="O489" i="1"/>
  <c r="O489" i="1" a="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c r="O475" i="1" a="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c r="O428" i="1" a="1"/>
  <c r="N428" i="1"/>
  <c r="M428" i="1"/>
  <c r="O427" i="1" a="1"/>
  <c r="O427" i="1" s="1"/>
  <c r="N427" i="1"/>
  <c r="M427" i="1"/>
  <c r="O426" i="1" a="1"/>
  <c r="O426" i="1" s="1"/>
  <c r="N426" i="1"/>
  <c r="M426" i="1"/>
  <c r="O425" i="1" a="1"/>
  <c r="O425" i="1" s="1"/>
  <c r="N425" i="1"/>
  <c r="M425" i="1"/>
  <c r="O424" i="1" a="1"/>
  <c r="O424" i="1" s="1"/>
  <c r="N424" i="1"/>
  <c r="M424" i="1"/>
  <c r="O423" i="1"/>
  <c r="O423" i="1" a="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c r="O349" i="1" a="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c r="O61" i="1" a="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<sst xmlns="http://schemas.openxmlformats.org/spreadsheetml/2006/main" count="14674" uniqueCount="2579">
  <si>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</si>
  <si>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</si>
  <si>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</si>
  <si>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</si>
  <si>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</si>
  <si>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</si>
  <si>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</si>
  <si>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</si>
  <si>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</si>
  <si>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</si>
  <si>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</si>
  <si>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</si>
  <si>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</si>
  <si>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</si>
  <si>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</si>
  <si>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</si>
  <si>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</si>
  <si>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</si>
  <si>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</si>
  <si>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</si>
  <si>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</si>
  <si>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</si>
  <si>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</si>
  <si>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</si>
  <si>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</si>
  <si>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</si>
  <si>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</si>
  <si>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</si>
  <si>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</si>
  <si>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</si>
  <si>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</si>
  <si>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</si>
  <si>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</si>
  <si>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</si>
  <si>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</si>
  <si>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</si>
  <si>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</si>
  <si>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</si>
  <si>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</si>
  <si>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</si>
  <si>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</si>
  <si>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</si>
  <si>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</si>
  <si>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</si>
  <si>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</si>
  <si>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</si>
  <si>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</si>
  <si>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</si>
  <si>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</si>
  <si>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</si>
  <si>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</si>
  <si>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</si>
  <si>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</si>
  <si>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</si>
  <si>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</si>
  <si>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</si>
  <si>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</si>
  <si>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</si>
  <si>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</si>
  <si>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</si>
  <si>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</si>
  <si>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</si>
  <si>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</si>
  <si>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</si>
  <si>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</si>
  <si>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</si>
  <si>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</si>
  <si>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</si>
  <si>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</si>
  <si>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</si>
  <si>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</si>
  <si>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</si>
  <si>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</si>
  <si>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</si>
  <si>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</si>
  <si>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</si>
  <si>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</si>
  <si>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</si>
  <si>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</si>
  <si>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</si>
  <si>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</si>
  <si>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</si>
  <si>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</si>
  <si>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</si>
  <si>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</si>
  <si>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</si>
  <si>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</si>
  <si>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</si>
  <si>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</si>
  <si>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</si>
  <si>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</si>
  <si>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</si>
  <si>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</si>
  <si>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</si>
  <si>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</si>
  <si>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</si>
  <si>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</si>
  <si>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</si>
  <si>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</si>
  <si>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</si>
  <si>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</si>
  <si>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</si>
  <si>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</si>
  <si>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</si>
  <si>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</si>
  <si>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</si>
  <si>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</si>
  <si>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</si>
  <si>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</si>
  <si>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</si>
  <si>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</si>
  <si>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</si>
  <si>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</si>
  <si>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</si>
  <si>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</si>
  <si>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</si>
  <si>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</si>
  <si>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</si>
  <si>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</si>
  <si>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</si>
  <si>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</si>
  <si>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</si>
  <si>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</si>
  <si>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</si>
  <si>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</si>
  <si>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</si>
  <si>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</si>
  <si>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</si>
  <si>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</si>
  <si>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</si>
  <si>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</si>
  <si>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</si>
  <si>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</si>
  <si>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</si>
  <si>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</si>
  <si>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</si>
  <si>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</si>
  <si>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</si>
  <si>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</si>
  <si>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</si>
  <si>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</si>
  <si>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</si>
  <si>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</si>
  <si>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</si>
  <si>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</si>
  <si>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</si>
  <si>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</si>
  <si>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</si>
  <si>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</si>
  <si>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</si>
  <si>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</si>
  <si>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</si>
  <si>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</si>
  <si>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</si>
  <si>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</si>
  <si>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</si>
  <si>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</si>
  <si>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</si>
  <si>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</si>
  <si>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</si>
  <si>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</si>
  <si>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</si>
  <si>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</si>
  <si>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</si>
  <si>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</si>
  <si>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</si>
  <si>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</si>
  <si>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</si>
  <si>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</si>
  <si>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</si>
  <si>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</si>
  <si>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</si>
  <si>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</si>
  <si>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</si>
  <si>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</si>
  <si>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</si>
  <si>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</si>
  <si>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</si>
  <si>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</si>
  <si>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</si>
  <si>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</si>
  <si>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</si>
  <si>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</si>
  <si>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</si>
  <si>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</si>
  <si>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</si>
  <si>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</si>
  <si>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</si>
  <si>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</si>
  <si>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</si>
  <si>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</si>
  <si>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</si>
  <si>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</si>
  <si>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</si>
  <si>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</si>
  <si>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</si>
  <si>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</si>
  <si>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</si>
  <si>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</si>
  <si>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</si>
  <si>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</si>
  <si>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</si>
  <si>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</si>
  <si>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</si>
  <si>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</si>
  <si>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</si>
  <si>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</si>
  <si>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</si>
  <si>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</si>
  <si>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</si>
  <si>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</si>
  <si>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</si>
  <si>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</si>
  <si>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</si>
  <si>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</si>
  <si>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</si>
  <si>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</si>
  <si>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</si>
  <si>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</si>
  <si>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</si>
  <si>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</si>
  <si>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</si>
  <si>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</si>
  <si>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</si>
  <si>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</si>
  <si>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</si>
  <si>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</si>
  <si>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</si>
  <si>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</si>
  <si>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</si>
  <si>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</si>
  <si>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</si>
  <si>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</si>
  <si>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</si>
  <si>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</si>
  <si>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</si>
  <si>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</si>
  <si>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</si>
  <si>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</si>
  <si>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</si>
  <si>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</si>
  <si>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</si>
  <si>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</si>
  <si>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</si>
  <si>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</si>
  <si>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</si>
  <si>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</si>
  <si>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</si>
  <si>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</si>
  <si>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</si>
  <si>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</si>
  <si>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</si>
  <si>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</si>
  <si>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</si>
  <si>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</si>
  <si>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</si>
  <si>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</si>
  <si>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</si>
  <si>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</si>
  <si>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</si>
  <si>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</si>
  <si>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</si>
  <si>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</si>
  <si>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</si>
  <si>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</si>
  <si>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</si>
  <si>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</si>
  <si>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</si>
  <si>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</si>
  <si>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</si>
  <si>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</si>
  <si>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</si>
  <si>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</si>
  <si>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</si>
  <si>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</si>
  <si>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</si>
  <si>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</si>
  <si>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</si>
  <si>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</si>
  <si>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</si>
  <si>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</si>
  <si>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</si>
  <si>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</si>
  <si>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</si>
  <si>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</si>
  <si>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</si>
  <si>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</si>
  <si>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</si>
  <si>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</si>
  <si>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</si>
  <si>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</si>
  <si>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</si>
  <si>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</si>
  <si>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</si>
  <si>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</si>
  <si>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</si>
  <si>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</si>
  <si>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</si>
  <si>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</si>
  <si>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</si>
  <si>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</si>
  <si>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</si>
  <si>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</si>
  <si>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</si>
  <si>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</si>
  <si>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</si>
  <si>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</si>
  <si>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</si>
  <si>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</si>
  <si>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</si>
  <si>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</si>
  <si>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</si>
  <si>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</si>
  <si>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</si>
  <si>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</si>
  <si>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</si>
  <si>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</si>
  <si>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</si>
  <si>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</si>
  <si>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</si>
  <si>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</si>
  <si>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</si>
  <si>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</si>
  <si>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</si>
  <si>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</si>
  <si>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</si>
  <si>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</si>
  <si>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</si>
  <si>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</si>
  <si>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</si>
  <si>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</si>
  <si>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</si>
  <si>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</si>
  <si>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</si>
  <si>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</si>
  <si>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</si>
  <si>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</si>
  <si>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</si>
  <si>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</si>
  <si>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</si>
  <si>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</si>
  <si>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</si>
  <si>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</si>
  <si>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</si>
  <si>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</si>
  <si>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</si>
  <si>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</si>
  <si>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</si>
  <si>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</si>
  <si>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</si>
  <si>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</si>
  <si>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</si>
  <si>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</si>
  <si>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</si>
  <si>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</si>
  <si>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</si>
  <si>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</si>
  <si>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</si>
  <si>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</si>
  <si>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</si>
  <si>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</si>
  <si>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</si>
  <si>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</si>
  <si>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</si>
  <si>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</si>
  <si>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</si>
  <si>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</si>
  <si>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</si>
  <si>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</si>
  <si>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</si>
  <si>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</si>
  <si>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</si>
  <si>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</si>
  <si>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</si>
  <si>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</si>
  <si>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</si>
  <si>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</si>
  <si>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</si>
  <si>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</si>
  <si>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</si>
  <si>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</si>
  <si>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</si>
  <si>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</si>
  <si>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</si>
  <si>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</si>
  <si>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</si>
  <si>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</si>
  <si>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</si>
  <si>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</si>
  <si>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</si>
  <si>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</si>
  <si>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</si>
  <si>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</si>
  <si>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</si>
  <si>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</si>
  <si>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</si>
  <si>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</si>
  <si>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</si>
  <si>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</si>
  <si>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</si>
  <si>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</si>
  <si>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</si>
  <si>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</si>
  <si>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</si>
  <si>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</si>
  <si>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</si>
  <si>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</si>
  <si>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</si>
  <si>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</si>
  <si>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</si>
  <si>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</si>
  <si>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</si>
  <si>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</si>
  <si>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</si>
  <si>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</si>
  <si>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</si>
  <si>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</si>
  <si>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</si>
  <si>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</si>
  <si>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</si>
  <si>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</si>
  <si>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</si>
  <si>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</si>
  <si>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</si>
  <si>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</si>
  <si>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</si>
  <si>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</si>
  <si>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</si>
  <si>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</si>
  <si>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</si>
  <si>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</si>
  <si>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</si>
  <si>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</si>
  <si>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</si>
  <si>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</si>
  <si>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</si>
  <si>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</si>
  <si>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</si>
  <si>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</si>
  <si>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</si>
  <si>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</si>
  <si>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</si>
  <si>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</si>
  <si>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</si>
  <si>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</si>
  <si>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</si>
  <si>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</si>
  <si>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</si>
  <si>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</si>
  <si>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</si>
  <si>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</si>
  <si>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</si>
  <si>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</si>
  <si>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</si>
  <si>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</si>
  <si>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</si>
  <si>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</si>
  <si>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</si>
  <si>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</si>
  <si>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</si>
  <si>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</si>
  <si>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</si>
  <si>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</si>
  <si>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</si>
  <si>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</si>
  <si>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</si>
  <si>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</si>
  <si>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</si>
  <si>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</si>
  <si>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</si>
  <si>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</si>
  <si>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</si>
  <si>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</si>
  <si>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</si>
  <si>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</si>
  <si>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</si>
  <si>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</si>
  <si>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</si>
  <si>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</si>
  <si>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</si>
  <si>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</si>
  <si>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</si>
  <si>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</si>
  <si>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</si>
  <si>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</si>
  <si>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</si>
  <si>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</si>
  <si>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</si>
  <si>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</si>
  <si>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</si>
  <si>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</si>
  <si>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</si>
  <si>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</si>
  <si>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</si>
  <si>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</si>
  <si>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</si>
  <si>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</si>
  <si>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</si>
  <si>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</si>
  <si>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</si>
  <si>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</si>
  <si>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</si>
  <si>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</si>
  <si>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</si>
  <si>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</si>
  <si>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</si>
  <si>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</si>
  <si>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</si>
  <si>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</si>
  <si>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</si>
  <si>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</si>
  <si>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</si>
  <si>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</si>
  <si>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</si>
  <si>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</si>
  <si>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</si>
  <si>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</si>
  <si>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</si>
  <si>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</si>
  <si>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</si>
  <si>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</si>
  <si>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</si>
  <si>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</si>
  <si>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</si>
  <si>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</si>
  <si>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</si>
  <si>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</si>
  <si>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</si>
  <si>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</si>
  <si>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</si>
  <si>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</si>
  <si>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</si>
  <si>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</si>
  <si>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</si>
  <si>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</si>
  <si>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</si>
  <si>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</si>
  <si>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</si>
  <si>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</si>
  <si>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</si>
  <si>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</si>
  <si>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</si>
  <si>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</si>
  <si>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</si>
  <si>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</si>
  <si>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</si>
  <si>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</si>
  <si>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</si>
  <si>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</si>
  <si>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</si>
  <si>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</si>
  <si>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</si>
  <si>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</si>
  <si>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</si>
  <si>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</si>
  <si>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</si>
  <si>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</si>
  <si>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</si>
  <si>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</si>
  <si>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</si>
  <si>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</si>
  <si>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</si>
  <si>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</si>
  <si>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</si>
  <si>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</si>
  <si>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</si>
  <si>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</si>
  <si>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</si>
  <si>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</si>
  <si>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</si>
  <si>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</si>
  <si>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</si>
  <si>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</si>
  <si>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</si>
  <si>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</si>
  <si>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</si>
  <si>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</si>
  <si>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</si>
  <si>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</si>
  <si>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</si>
  <si>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</si>
  <si>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</si>
  <si>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</si>
  <si>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</si>
  <si>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</si>
  <si>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</si>
  <si>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</si>
  <si>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</si>
  <si>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</si>
  <si>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</si>
  <si>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</si>
  <si>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</si>
  <si>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</si>
  <si>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</si>
  <si>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</si>
  <si>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</si>
  <si>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</si>
  <si>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</si>
  <si>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</si>
  <si>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</si>
  <si>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</si>
  <si>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</si>
  <si>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</si>
  <si>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</si>
  <si>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</si>
  <si>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</si>
  <si>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</si>
  <si>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</si>
  <si>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</si>
  <si>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</si>
  <si>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</si>
  <si>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</si>
  <si>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</si>
  <si>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</si>
  <si>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</si>
  <si>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</si>
  <si>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</si>
  <si>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</si>
  <si>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</si>
  <si>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</si>
  <si>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</si>
  <si>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</si>
  <si>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</si>
  <si>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</si>
  <si>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</si>
  <si>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</si>
  <si>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</si>
  <si>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</si>
  <si>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</si>
  <si>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</si>
  <si>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</si>
  <si>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</si>
  <si>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</si>
  <si>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</si>
  <si>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</si>
  <si>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</si>
  <si>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</si>
  <si>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</si>
  <si>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</si>
  <si>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</si>
  <si>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</si>
  <si>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</si>
  <si>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</si>
  <si>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</si>
  <si>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</si>
  <si>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</si>
  <si>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</si>
  <si>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</si>
  <si>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</si>
  <si>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</si>
  <si>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</si>
  <si>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</si>
  <si>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</si>
  <si>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</si>
  <si>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</si>
  <si>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</si>
  <si>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</si>
  <si>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</si>
  <si>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</si>
  <si>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</si>
  <si>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</si>
  <si>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</si>
  <si>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</si>
  <si>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</si>
  <si>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</si>
  <si>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</si>
  <si>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</si>
  <si>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</si>
  <si>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</si>
  <si>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</si>
  <si>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</si>
  <si>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</si>
  <si>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</si>
  <si>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</si>
  <si>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</si>
  <si>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</si>
  <si>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</si>
  <si>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</si>
  <si>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</si>
  <si>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</si>
  <si>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</si>
  <si>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</si>
  <si>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</si>
  <si>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</si>
  <si>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</si>
  <si>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</si>
  <si>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</si>
  <si>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</si>
  <si>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</si>
  <si>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</si>
  <si>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</si>
  <si>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</si>
  <si>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</si>
  <si>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</si>
  <si>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</si>
  <si>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</si>
  <si>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</si>
  <si>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</si>
  <si>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</si>
  <si>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</si>
  <si>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</si>
  <si>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</si>
  <si>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</si>
  <si>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</si>
  <si>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</si>
  <si>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</si>
  <si>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</si>
  <si>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</si>
  <si>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</si>
  <si>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</si>
  <si>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</si>
  <si>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</si>
  <si>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</si>
  <si>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</si>
  <si>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</si>
  <si>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</si>
  <si>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</si>
  <si>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</si>
  <si>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</si>
  <si>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</si>
  <si>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</si>
  <si>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</si>
  <si>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</si>
  <si>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</si>
  <si>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</si>
  <si>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</si>
  <si>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</si>
  <si>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</si>
  <si>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</si>
  <si>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</si>
  <si>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</si>
  <si>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</si>
  <si>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</si>
  <si>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</si>
  <si>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</si>
  <si>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</si>
  <si>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</si>
  <si>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</si>
  <si>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</si>
  <si>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</si>
  <si>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</si>
  <si>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</si>
  <si>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</si>
  <si>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</si>
  <si>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</si>
  <si>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</si>
  <si>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</si>
  <si>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</si>
  <si>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</si>
  <si>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</si>
  <si>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</si>
  <si>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</si>
  <si>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</si>
  <si>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</si>
  <si>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</si>
  <si>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</si>
  <si>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</si>
  <si>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</si>
  <si>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</si>
  <si>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</si>
  <si>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</si>
  <si>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</si>
  <si>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</si>
  <si>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</si>
  <si>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</si>
  <si>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</si>
  <si>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</si>
  <si>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</si>
  <si>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</si>
  <si>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</si>
  <si>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</si>
  <si>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</si>
  <si>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</si>
  <si>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</si>
  <si>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</si>
  <si>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</si>
  <si>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</si>
  <si>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</si>
  <si>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</si>
  <si>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</si>
  <si>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</si>
  <si>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</si>
  <si>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</si>
  <si>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</si>
  <si>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</si>
  <si>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</si>
  <si>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</si>
  <si>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</si>
  <si>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</si>
  <si>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</si>
  <si>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</si>
  <si>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</si>
  <si>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</si>
  <si>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</si>
  <si>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</si>
  <si>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</si>
  <si>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</si>
  <si>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</si>
  <si>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</si>
  <si>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</si>
  <si>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</si>
  <si>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</si>
  <si>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</si>
  <si>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</si>
  <si>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</si>
  <si>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</si>
  <si>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</si>
  <si>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</si>
  <si>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</si>
  <si>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</si>
  <si>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</si>
  <si>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</si>
  <si>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</si>
  <si>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</si>
  <si>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</si>
  <si>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</si>
  <si>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</si>
  <si>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</si>
  <si>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</si>
  <si>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</si>
  <si>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</si>
  <si>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</si>
  <si>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</si>
  <si>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</si>
  <si>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</si>
  <si>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</si>
  <si>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</si>
  <si>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</si>
  <si>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</si>
  <si>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</si>
  <si>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</si>
  <si>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</si>
  <si>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</si>
  <si>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</si>
  <si>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</si>
  <si>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</si>
  <si>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</si>
  <si>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</si>
  <si>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</si>
  <si>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</si>
  <si>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</si>
  <si>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</si>
  <si>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</si>
  <si>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</si>
  <si>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</si>
  <si>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</si>
  <si>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</si>
  <si>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</si>
  <si>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</si>
  <si>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</si>
  <si>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</si>
  <si>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</si>
  <si>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</si>
  <si>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</si>
  <si>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</si>
  <si>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</si>
  <si>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</si>
  <si>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</si>
  <si>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</si>
  <si>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</si>
  <si>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</si>
  <si>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</si>
  <si>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</si>
  <si>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</si>
  <si>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</si>
  <si>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</si>
  <si>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</si>
  <si>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</si>
  <si>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</si>
  <si>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</si>
  <si>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</si>
  <si>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</si>
  <si>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</si>
  <si>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</si>
  <si>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</si>
  <si>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</si>
  <si>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</si>
  <si>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</si>
  <si>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</si>
  <si>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</si>
  <si>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</si>
  <si>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</si>
  <si>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</si>
  <si>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</si>
  <si>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</si>
  <si>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</si>
  <si>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</si>
  <si>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</si>
  <si>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</si>
  <si>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</si>
  <si>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</si>
  <si>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</si>
  <si>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</si>
  <si>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</si>
  <si>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</si>
  <si>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</si>
  <si>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</si>
  <si>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</si>
  <si>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</si>
  <si>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</si>
  <si>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</si>
  <si>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</si>
  <si>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</si>
  <si>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</si>
  <si>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</si>
  <si>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</si>
  <si>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</si>
  <si>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</si>
  <si>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</si>
  <si>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</si>
  <si>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</si>
  <si>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</si>
  <si>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</si>
  <si>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</si>
  <si>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</si>
  <si>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</si>
  <si>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</si>
  <si>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</si>
  <si>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</si>
  <si>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</si>
  <si>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</si>
  <si>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</si>
  <si>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</si>
  <si>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</si>
  <si>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</si>
  <si>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</si>
  <si>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</si>
  <si>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</si>
  <si>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</si>
  <si>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</si>
  <si>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</si>
  <si>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</si>
  <si>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</si>
  <si>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</si>
  <si>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</si>
  <si>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</si>
  <si>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</si>
  <si>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</si>
  <si>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</si>
  <si>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</si>
  <si>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</si>
  <si>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</si>
  <si>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</si>
  <si>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</si>
  <si>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</si>
  <si>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</si>
  <si>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</si>
  <si>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</si>
  <si>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</si>
  <si>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</si>
  <si>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</si>
  <si>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</si>
  <si>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</si>
  <si>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</si>
  <si>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</si>
  <si>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</si>
  <si>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</si>
  <si>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</si>
  <si>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</si>
  <si>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</si>
  <si>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</si>
  <si>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</si>
  <si>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</si>
  <si>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</si>
  <si>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</si>
  <si>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</si>
  <si>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</si>
  <si>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</si>
  <si>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</si>
  <si>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</si>
  <si>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</si>
  <si>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</si>
  <si>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</si>
  <si>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</si>
  <si>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</si>
  <si>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</si>
  <si>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</si>
  <si>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</si>
  <si>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</si>
  <si>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</si>
  <si>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</si>
  <si>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</si>
  <si>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</si>
  <si>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</si>
  <si>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</si>
  <si>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</si>
  <si>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</si>
  <si>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</si>
  <si>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</si>
  <si>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</si>
  <si>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</si>
  <si>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</si>
  <si>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</si>
  <si>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</si>
  <si>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</si>
  <si>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</si>
  <si>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</si>
  <si>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</si>
  <si>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</si>
  <si>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</si>
  <si>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</si>
  <si>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</si>
  <si>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</si>
  <si>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</si>
  <si>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</si>
  <si>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</si>
  <si>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</si>
  <si>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</si>
  <si>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</si>
  <si>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</si>
  <si>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</si>
  <si>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</si>
  <si>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</si>
  <si>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</si>
  <si>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</si>
  <si>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</si>
  <si>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</si>
  <si>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</si>
  <si>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</si>
  <si>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</si>
  <si>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</si>
  <si>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</si>
  <si>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</si>
  <si>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</si>
  <si>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</si>
  <si>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</si>
  <si>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</si>
  <si>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</si>
  <si>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</si>
  <si>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</si>
  <si>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</si>
  <si>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</si>
  <si>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</si>
  <si>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</si>
  <si>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</si>
  <si>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</si>
  <si>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</si>
  <si>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</si>
  <si>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</si>
  <si>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</si>
  <si>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</si>
  <si>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</si>
  <si>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</si>
  <si>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</si>
  <si>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</si>
  <si>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</si>
  <si>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</si>
  <si>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</si>
  <si>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</si>
  <si>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</si>
  <si>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</si>
  <si>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</si>
  <si>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</si>
  <si>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</si>
  <si>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</si>
  <si>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</si>
  <si>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</si>
  <si>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</si>
  <si>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</si>
  <si>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</si>
  <si>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</si>
  <si>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</si>
  <si>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</si>
  <si>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</si>
  <si>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</si>
  <si>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</si>
  <si>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</si>
  <si>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</si>
  <si>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</si>
  <si>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</si>
  <si>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</si>
  <si>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</si>
  <si>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</si>
  <si>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</si>
  <si>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</si>
  <si>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</si>
  <si>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</si>
  <si>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</si>
  <si>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</si>
  <si>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</si>
  <si>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</si>
  <si>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</si>
  <si>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</si>
  <si>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</si>
  <si>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</si>
  <si>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</si>
  <si>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</si>
  <si>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</si>
  <si>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</si>
  <si>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</si>
  <si>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</si>
  <si>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</si>
  <si>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</si>
  <si>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</si>
  <si>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</si>
  <si>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</si>
  <si>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</si>
  <si>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</si>
  <si>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</si>
  <si>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</si>
  <si>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</si>
  <si>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</si>
  <si>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</si>
  <si>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</si>
  <si>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</si>
  <si>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</si>
  <si>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</si>
  <si>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</si>
  <si>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</si>
  <si>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</si>
  <si>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</si>
  <si>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</si>
  <si>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</si>
  <si>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</si>
  <si>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</si>
  <si>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</si>
  <si>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</si>
  <si>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</si>
  <si>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</si>
  <si>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</si>
  <si>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</si>
  <si>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</si>
  <si>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</si>
  <si>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</si>
  <si>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</si>
  <si>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</si>
  <si>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</si>
  <si>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</si>
  <si>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</si>
  <si>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</si>
  <si>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</si>
  <si>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</si>
  <si>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</si>
  <si>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</si>
  <si>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</si>
  <si>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</si>
  <si>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</si>
  <si>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</si>
  <si>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</si>
  <si>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</si>
  <si>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</si>
  <si>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</si>
  <si>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</si>
  <si>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</si>
  <si>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</si>
  <si>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</si>
  <si>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</si>
  <si>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</si>
  <si>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</si>
  <si>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</si>
  <si>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</si>
  <si>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</si>
  <si>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</si>
  <si>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</si>
  <si>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</si>
  <si>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</si>
  <si>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</si>
  <si>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</si>
  <si>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</si>
  <si>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</si>
  <si>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</si>
  <si>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</si>
  <si>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</si>
  <si>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</si>
  <si>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</si>
  <si>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</si>
  <si>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</si>
  <si>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</si>
  <si>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</si>
  <si>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</si>
  <si>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</si>
  <si>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</si>
  <si>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</si>
  <si>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</si>
  <si>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</si>
  <si>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</si>
  <si>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</si>
  <si>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</si>
  <si>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</si>
  <si>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</si>
  <si>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</si>
  <si>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</si>
  <si>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</si>
  <si>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</si>
  <si>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</si>
  <si>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</si>
  <si>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</si>
  <si>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</si>
  <si>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</si>
  <si>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</si>
  <si>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</si>
  <si>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</si>
  <si>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</si>
  <si>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</si>
  <si>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</si>
  <si>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</si>
  <si>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</si>
  <si>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</si>
  <si>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</si>
  <si>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</si>
  <si>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</si>
  <si>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</si>
  <si>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</si>
  <si>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</si>
  <si>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</si>
  <si>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</si>
  <si>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</si>
  <si>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</si>
  <si>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</si>
  <si>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</si>
  <si>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</si>
  <si>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</si>
  <si>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</si>
  <si>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</si>
  <si>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</si>
  <si>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</si>
  <si>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</si>
  <si>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</si>
  <si>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</si>
  <si>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</si>
  <si>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</si>
  <si>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</si>
  <si>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</si>
  <si>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</si>
  <si>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</si>
  <si>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</si>
  <si>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</si>
  <si>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</si>
  <si>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</si>
  <si>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</si>
  <si>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</si>
  <si>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</si>
  <si>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</si>
  <si>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</si>
  <si>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</si>
  <si>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</si>
  <si>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</si>
  <si>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</si>
  <si>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</si>
  <si>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</si>
  <si>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</si>
  <si>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</si>
  <si>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</si>
  <si>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</si>
  <si>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</si>
  <si>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</si>
  <si>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</si>
  <si>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</si>
  <si>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</si>
  <si>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</si>
  <si>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</si>
  <si>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</si>
  <si>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</si>
  <si>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</si>
  <si>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</si>
  <si>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</si>
  <si>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</si>
  <si>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</si>
  <si>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</si>
  <si>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</si>
  <si>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</si>
  <si>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</si>
  <si>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</si>
  <si>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</si>
  <si>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</si>
  <si>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</si>
  <si>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</si>
  <si>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</si>
  <si>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</si>
  <si>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</si>
  <si>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</si>
  <si>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</si>
  <si>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</si>
  <si>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</si>
  <si>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</si>
  <si>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</si>
  <si>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</si>
  <si>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</si>
  <si>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</si>
  <si>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</si>
  <si>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</si>
  <si>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</si>
  <si>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</si>
  <si>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</si>
  <si>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</si>
  <si>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</si>
  <si>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</si>
  <si>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</si>
  <si>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</si>
  <si>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</si>
  <si>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</si>
  <si>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</si>
  <si>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</si>
  <si>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</si>
  <si>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</si>
  <si>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</si>
  <si>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</si>
  <si>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</si>
  <si>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</si>
  <si>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</si>
  <si>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</si>
  <si>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</si>
  <si>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</si>
  <si>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</si>
  <si>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</si>
  <si>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</si>
  <si>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</si>
  <si>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</si>
  <si>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</si>
  <si>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</si>
  <si>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</si>
  <si>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</si>
  <si>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</si>
  <si>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</si>
  <si>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</si>
  <si>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</si>
  <si>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</si>
  <si>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</si>
  <si>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</si>
  <si>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</si>
  <si>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</si>
  <si>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</si>
  <si>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</si>
  <si>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</si>
  <si>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</si>
  <si>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</si>
  <si>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</si>
  <si>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</si>
  <si>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</si>
  <si>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</si>
  <si>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</si>
  <si>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</si>
  <si>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</si>
  <si>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</si>
  <si>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</si>
  <si>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</si>
  <si>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</si>
  <si>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</si>
  <si>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</si>
  <si>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</si>
  <si>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</si>
  <si>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</si>
  <si>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</si>
  <si>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</si>
  <si>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</si>
  <si>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</si>
  <si>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</si>
  <si>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</si>
  <si>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</si>
  <si>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</si>
  <si>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</si>
  <si>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</si>
  <si>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</si>
  <si>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</si>
  <si>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</si>
  <si>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</si>
  <si>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</si>
  <si>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</si>
  <si>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</si>
  <si>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</si>
  <si>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</si>
  <si>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</si>
  <si>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</si>
  <si>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</si>
  <si>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</si>
  <si>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</si>
  <si>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</si>
  <si>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</si>
  <si>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</si>
  <si>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</si>
  <si>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</si>
  <si>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</si>
  <si>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</si>
  <si>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</si>
  <si>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</si>
  <si>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</si>
  <si>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</si>
  <si>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</si>
  <si>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</si>
  <si>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</si>
  <si>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</si>
  <si>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</si>
  <si>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</si>
  <si>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</si>
  <si>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</si>
  <si>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</si>
  <si>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</si>
  <si>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</si>
  <si>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</si>
  <si>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</si>
  <si>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</si>
  <si>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</si>
  <si>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</si>
  <si>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</si>
  <si>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</si>
  <si>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</si>
  <si>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</si>
  <si>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</si>
  <si>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</si>
  <si>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</si>
  <si>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</si>
  <si>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</si>
  <si>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</si>
  <si>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</si>
  <si>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</si>
  <si>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</si>
  <si>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</si>
  <si>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</si>
  <si>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</si>
  <si>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</si>
  <si>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</si>
  <si>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</si>
  <si>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</si>
  <si>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</si>
  <si>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</si>
  <si>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</si>
  <si>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</si>
  <si>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</si>
  <si>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</si>
  <si>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</si>
  <si>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</si>
  <si>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</si>
  <si>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</si>
  <si>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</si>
  <si>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</si>
  <si>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</si>
  <si>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</si>
  <si>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</si>
  <si>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</si>
  <si>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</si>
  <si>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</si>
  <si>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</si>
  <si>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</si>
  <si>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</si>
  <si>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</si>
  <si>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</si>
  <si>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</si>
  <si>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</si>
  <si>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</si>
  <si>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</si>
  <si>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</si>
  <si>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</si>
  <si>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</si>
  <si>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</si>
  <si>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</si>
  <si>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</si>
  <si>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</si>
  <si>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</si>
  <si>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</si>
  <si>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</si>
  <si>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</si>
  <si>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</si>
  <si>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</si>
  <si>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</si>
  <si>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</si>
  <si>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</si>
  <si>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</si>
  <si>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</si>
  <si>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</si>
  <si>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</si>
  <si>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</si>
  <si>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</si>
  <si>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</si>
  <si>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</si>
  <si>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</si>
  <si>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</si>
  <si>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</si>
  <si>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</si>
  <si>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</si>
  <si>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</si>
  <si>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</si>
  <si>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</si>
  <si>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</si>
  <si>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</si>
  <si>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</si>
  <si>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</si>
  <si>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</si>
  <si>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</si>
  <si>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</si>
  <si>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</si>
  <si>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</si>
  <si>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</si>
  <si>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</si>
  <si>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</si>
  <si>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</si>
  <si>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</si>
  <si>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</si>
  <si>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</si>
  <si>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</si>
  <si>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</si>
  <si>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</si>
  <si>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</si>
  <si>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</si>
  <si>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</si>
  <si>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</si>
  <si>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</si>
  <si>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</si>
  <si>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</si>
  <si>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</si>
  <si>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</si>
  <si>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</si>
  <si>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</si>
  <si>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</si>
  <si>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</si>
  <si>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</si>
  <si>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</si>
  <si>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</si>
  <si>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</si>
  <si>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</si>
  <si>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</si>
  <si>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</si>
  <si>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</si>
  <si>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</si>
  <si>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</si>
  <si>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</si>
  <si>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</si>
  <si>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</si>
  <si>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</si>
  <si>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</si>
  <si>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</si>
  <si>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</si>
  <si>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</si>
  <si>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</si>
  <si>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</si>
  <si>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</si>
  <si>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</si>
  <si>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</si>
  <si>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</si>
  <si>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</si>
  <si>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</si>
  <si>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</si>
  <si>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</si>
  <si>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</si>
  <si>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</si>
  <si>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</si>
  <si>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</si>
  <si>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</si>
  <si>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</si>
  <si>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</si>
  <si>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</si>
  <si>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</si>
  <si>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</si>
  <si>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</si>
  <si>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</si>
  <si>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</si>
  <si>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</si>
  <si>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</si>
  <si>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</si>
  <si>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</si>
  <si>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</si>
  <si>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</si>
  <si>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</si>
  <si>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</si>
  <si>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</si>
  <si>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</si>
  <si>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</si>
  <si>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</si>
  <si>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</si>
  <si>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</si>
  <si>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</si>
  <si>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</si>
  <si>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</si>
  <si>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</si>
  <si>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</si>
  <si>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</si>
  <si>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</si>
  <si>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</si>
  <si>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</si>
  <si>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</si>
  <si>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</si>
  <si>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</si>
  <si>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</si>
  <si>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</si>
  <si>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</si>
  <si>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</si>
  <si>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</si>
  <si>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</si>
  <si>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</si>
  <si>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</si>
  <si>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</si>
  <si>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</si>
  <si>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</si>
  <si>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</si>
  <si>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</si>
  <si>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</si>
  <si>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</si>
  <si>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</si>
  <si>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</si>
  <si>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</si>
  <si>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</si>
  <si>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</si>
  <si>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</si>
  <si>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</si>
  <si>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</si>
  <si>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</si>
  <si>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</si>
  <si>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</si>
  <si>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</si>
  <si>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</si>
  <si>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</si>
  <si>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</si>
  <si>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</si>
  <si>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</si>
  <si>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</si>
  <si>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</si>
  <si>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</si>
  <si>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</si>
  <si>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</si>
  <si>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</si>
  <si>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</si>
  <si>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</si>
  <si>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</si>
  <si>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</si>
  <si>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</si>
  <si>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</si>
  <si>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</si>
  <si>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</si>
  <si>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</si>
  <si>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</si>
  <si>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</si>
  <si>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</si>
  <si>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</si>
  <si>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</si>
  <si>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</si>
  <si>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</si>
  <si>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</si>
  <si>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</si>
  <si>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</si>
  <si>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</si>
  <si>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</si>
  <si>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</si>
  <si>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</si>
  <si>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</si>
  <si>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</si>
  <si>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</si>
  <si>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</si>
  <si>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</si>
  <si>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</si>
  <si>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</si>
  <si>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</si>
  <si>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</si>
  <si>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</si>
  <si>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</si>
  <si>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</si>
  <si>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</si>
  <si>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</si>
  <si>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</si>
  <si>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</si>
  <si>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</si>
  <si>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</si>
  <si>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</si>
  <si>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</si>
  <si>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</si>
  <si>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</si>
  <si>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</si>
  <si>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</si>
  <si>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</si>
  <si>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</si>
  <si>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</si>
  <si>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</si>
  <si>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</si>
  <si>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</si>
  <si>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</si>
  <si>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</si>
  <si>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</si>
  <si>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</si>
  <si>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</si>
  <si>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</si>
  <si>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</si>
  <si>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</si>
  <si>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</si>
  <si>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</si>
  <si>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</si>
  <si>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</si>
  <si>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</si>
  <si>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</si>
  <si>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</si>
  <si>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</si>
  <si>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</si>
  <si>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</si>
  <si>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</si>
  <si>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</si>
  <si>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</si>
  <si>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</si>
  <si>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</si>
  <si>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</si>
  <si>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</si>
  <si>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</si>
  <si>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</si>
  <si>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</si>
  <si>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</si>
  <si>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</si>
  <si>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</si>
  <si>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</si>
  <si>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</si>
  <si>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</si>
  <si>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</si>
  <si>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</si>
  <si>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</si>
  <si>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</si>
  <si>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</si>
  <si>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</si>
  <si>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</si>
  <si>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</si>
  <si>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</si>
  <si>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</si>
  <si>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</si>
  <si>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</si>
  <si>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</si>
  <si>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</si>
  <si>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</si>
  <si>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</si>
  <si>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</si>
  <si>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</si>
  <si>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</si>
  <si>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</si>
  <si>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</si>
  <si>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</si>
  <si>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</si>
  <si>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</si>
  <si>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</si>
  <si>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</si>
  <si>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</si>
  <si>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</si>
  <si>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</si>
  <si>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</si>
  <si>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</si>
  <si>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</si>
  <si>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</si>
  <si>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</si>
  <si>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</si>
  <si>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</si>
  <si>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</si>
  <si>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</si>
  <si>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</si>
  <si>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</si>
  <si>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</si>
  <si>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</si>
  <si>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</si>
  <si>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</si>
  <si>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</si>
  <si>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</si>
  <si>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</si>
  <si>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</si>
  <si>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</si>
  <si>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</si>
  <si>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</si>
  <si>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</si>
  <si>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</si>
  <si>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</si>
  <si>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</si>
  <si>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</si>
  <si>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</si>
  <si>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</si>
  <si>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</si>
  <si>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</si>
  <si>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</si>
  <si>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</si>
  <si>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</si>
  <si>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</si>
  <si>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</si>
  <si>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</si>
  <si>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</si>
  <si>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</si>
  <si>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</si>
  <si>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</si>
  <si>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</si>
  <si>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</si>
  <si>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</si>
  <si>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</si>
  <si>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</si>
  <si>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</si>
  <si>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</si>
  <si>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</si>
  <si>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</si>
  <si>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</si>
  <si>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</si>
  <si>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</si>
  <si>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</si>
  <si>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</si>
  <si>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</si>
  <si>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</si>
  <si>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</si>
  <si>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</si>
  <si>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</si>
  <si>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</si>
  <si>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</si>
  <si>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</si>
  <si>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</si>
  <si>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</si>
  <si>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</si>
  <si>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</si>
  <si>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</si>
  <si>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</si>
  <si>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</si>
  <si>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</si>
  <si>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</si>
  <si>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</si>
  <si>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</si>
  <si>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</si>
  <si>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</si>
  <si>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</si>
  <si>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</si>
  <si>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</si>
  <si>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</si>
  <si>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</si>
  <si>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</si>
  <si>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</si>
  <si>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</si>
  <si>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</si>
  <si>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</si>
  <si>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</si>
  <si>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</si>
  <si>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</si>
  <si>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</si>
  <si>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</si>
  <si>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</si>
  <si>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</si>
  <si>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</si>
  <si>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</si>
  <si>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</si>
  <si>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</si>
  <si>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</si>
  <si>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</si>
  <si>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</si>
  <si>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</si>
  <si>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</si>
  <si>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</si>
  <si>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</si>
  <si>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</si>
  <si>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</si>
  <si>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</si>
  <si>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</si>
  <si>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</si>
  <si>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</si>
  <si>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</si>
  <si>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</si>
  <si>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</si>
  <si>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</si>
  <si>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</si>
  <si>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</si>
  <si>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</si>
  <si>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</si>
  <si>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</si>
  <si>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</si>
  <si>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</si>
  <si>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</si>
  <si>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</si>
  <si>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</si>
  <si>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</si>
  <si>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</si>
  <si>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</si>
  <si>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</si>
  <si>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</si>
  <si>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</si>
  <si>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</si>
  <si>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</si>
  <si>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</si>
  <si>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</si>
  <si>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</si>
  <si>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</si>
  <si>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</si>
  <si>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</si>
  <si>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</si>
  <si>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</si>
  <si>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</si>
  <si>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</si>
  <si>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</si>
  <si>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</si>
  <si>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</si>
  <si>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</si>
  <si>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</si>
  <si>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</si>
  <si>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</si>
  <si>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</si>
  <si>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</si>
  <si>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</si>
  <si>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</si>
  <si>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</si>
  <si>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</si>
  <si>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</si>
  <si>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</si>
  <si>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</si>
  <si>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</si>
  <si>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</si>
  <si>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</si>
  <si>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</si>
  <si>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</si>
  <si>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</si>
  <si>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</si>
  <si>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</si>
  <si>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</si>
  <si>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</si>
  <si>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</si>
  <si>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</si>
  <si>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</si>
  <si>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</si>
  <si>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</si>
  <si>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</si>
  <si>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</si>
  <si>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</si>
  <si>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</si>
  <si>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</si>
  <si>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</si>
  <si>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</si>
  <si>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</si>
  <si>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</si>
  <si>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</si>
  <si>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</si>
  <si>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</si>
  <si>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</si>
  <si>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</si>
  <si>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</si>
  <si>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</si>
  <si>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</si>
  <si>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</si>
  <si>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</si>
  <si>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</si>
  <si>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</si>
  <si>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</si>
  <si>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</si>
  <si>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</si>
  <si>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</si>
  <si>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</si>
  <si>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</si>
  <si>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</si>
  <si>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</si>
  <si>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</si>
  <si>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</si>
  <si>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</si>
  <si>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</si>
  <si>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</si>
  <si>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</si>
  <si>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</si>
  <si>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</si>
  <si>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</si>
  <si>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</si>
  <si>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</si>
  <si>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</si>
  <si>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</si>
  <si>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</si>
  <si>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</si>
  <si>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</si>
  <si>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</si>
  <si>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</si>
  <si>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</si>
  <si>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</si>
  <si>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</si>
  <si>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</si>
  <si>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</si>
  <si>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</si>
  <si>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</si>
  <si>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</si>
  <si>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</si>
  <si>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</si>
  <si>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</si>
  <si>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</si>
  <si>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</si>
  <si>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</si>
  <si>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</si>
  <si>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</si>
  <si>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</si>
  <si>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</si>
  <si>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</si>
  <si>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</si>
  <si>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</si>
  <si>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</si>
  <si>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</si>
  <si>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</si>
  <si>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</si>
  <si>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</si>
  <si>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</si>
  <si>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</si>
  <si>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</si>
  <si>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</si>
  <si>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</si>
  <si>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</si>
  <si>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</si>
  <si>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</si>
  <si>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</si>
  <si>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</si>
  <si>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</si>
  <si>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</si>
  <si>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</si>
  <si>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</si>
  <si>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</si>
  <si>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</si>
  <si>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</si>
  <si>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</si>
  <si>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</si>
  <si>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</si>
  <si>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</si>
  <si>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</si>
  <si>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</si>
  <si>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</si>
  <si>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</si>
  <si>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</si>
  <si>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</si>
  <si>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</si>
  <si>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</si>
  <si>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</si>
  <si>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</si>
  <si>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</si>
  <si>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</si>
  <si>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</si>
  <si>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</si>
  <si>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</si>
  <si>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</si>
  <si>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</si>
  <si>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</si>
  <si>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</si>
  <si>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</si>
  <si>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</si>
  <si>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</si>
  <si>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</si>
  <si>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</si>
  <si>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</si>
  <si>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</si>
  <si>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</si>
  <si>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</si>
  <si>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</si>
  <si>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</si>
  <si>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</si>
  <si>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</si>
  <si>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</si>
  <si>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</si>
  <si>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</si>
  <si>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</si>
  <si>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</si>
  <si>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</si>
  <si>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</si>
  <si>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</si>
  <si>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</si>
  <si>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</si>
  <si>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</si>
  <si>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</si>
  <si>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</si>
  <si>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</si>
  <si>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</si>
  <si>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</si>
  <si>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</si>
  <si>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</si>
  <si>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</si>
  <si>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</si>
  <si>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</si>
  <si>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</si>
  <si>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</si>
  <si>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</si>
  <si>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</si>
  <si>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</si>
  <si>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</si>
  <si>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</si>
  <si>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</si>
  <si>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</si>
  <si>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</si>
  <si>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</si>
  <si>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</si>
  <si>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</si>
  <si>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</si>
  <si>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</si>
  <si>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</si>
  <si>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</si>
  <si>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</si>
  <si>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</si>
  <si>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</si>
  <si>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</si>
  <si>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</si>
  <si>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</si>
  <si>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</si>
  <si>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</si>
  <si>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</si>
  <si>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</si>
  <si>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</si>
  <si>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</si>
  <si>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</si>
  <si>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</si>
  <si>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</si>
  <si>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</si>
  <si>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</si>
  <si>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</si>
  <si>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</si>
  <si>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</si>
  <si>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</si>
  <si>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</si>
  <si>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</si>
  <si>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</si>
  <si>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</si>
  <si>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</si>
  <si>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</si>
  <si>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</si>
  <si>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</si>
  <si>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</si>
  <si>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</si>
  <si>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</si>
  <si>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</si>
  <si>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</si>
  <si>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</si>
  <si>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</si>
  <si>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</si>
  <si>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</si>
  <si>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</si>
  <si>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</si>
  <si>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</si>
  <si>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</si>
  <si>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</si>
  <si>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</si>
  <si>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</si>
  <si>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</si>
  <si>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</si>
  <si>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</si>
  <si>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</si>
  <si>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</si>
  <si>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</si>
  <si>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</si>
  <si>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</si>
  <si>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</si>
  <si>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</si>
  <si>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</si>
  <si>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</si>
  <si>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</si>
  <si>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</si>
  <si>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</si>
  <si>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</si>
  <si>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</si>
  <si>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</si>
  <si>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</si>
  <si>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</si>
  <si>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</si>
  <si>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</si>
  <si>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</si>
  <si>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</si>
  <si>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</si>
  <si>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</si>
  <si>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</si>
  <si>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</si>
  <si>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</si>
  <si>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</si>
  <si>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</si>
  <si>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</si>
  <si>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</si>
  <si>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</si>
  <si>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</si>
  <si>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</si>
  <si>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</si>
  <si>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</si>
  <si>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</si>
  <si>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</si>
  <si>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</si>
  <si>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</si>
  <si>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</si>
  <si>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</si>
  <si>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</si>
  <si>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</si>
  <si>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</si>
  <si>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</si>
  <si>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</si>
  <si>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</si>
  <si>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</si>
  <si>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</si>
  <si>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</si>
  <si>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</si>
  <si>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</si>
  <si>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</si>
  <si>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</si>
  <si>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</si>
  <si>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</si>
  <si>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</si>
  <si>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</si>
  <si>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</si>
  <si>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</si>
  <si>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</si>
  <si>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</si>
  <si>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</si>
  <si>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</si>
  <si>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</si>
  <si>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</si>
  <si>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</si>
  <si>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</si>
  <si>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</si>
  <si>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</si>
  <si>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</si>
  <si>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</si>
  <si>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</si>
  <si>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</si>
  <si>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</si>
  <si>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</si>
  <si>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</si>
  <si>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</si>
  <si>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</si>
  <si>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</si>
  <si>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</si>
  <si>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</si>
  <si>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</si>
  <si>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</si>
  <si>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</si>
  <si>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</si>
  <si>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</si>
  <si>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</si>
  <si>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</si>
  <si>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</si>
  <si>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</si>
  <si>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</si>
  <si>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</si>
  <si>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</si>
  <si>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</si>
  <si>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</si>
  <si>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</si>
  <si>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</si>
  <si>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</si>
  <si>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</si>
  <si>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</si>
  <si>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</si>
  <si>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</si>
  <si>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</si>
  <si>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</si>
  <si>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</si>
  <si>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</si>
  <si>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</si>
  <si>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</si>
  <si>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</si>
  <si>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</si>
  <si>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</si>
  <si>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</si>
  <si>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</si>
  <si>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</si>
  <si>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</si>
  <si>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</si>
  <si>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</si>
  <si>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</si>
  <si>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</si>
  <si>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</si>
  <si>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</si>
  <si>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</si>
  <si>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</si>
  <si>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</si>
  <si>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</si>
  <si>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</si>
  <si>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</si>
  <si>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</si>
  <si>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</si>
  <si>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</si>
  <si>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</si>
  <si>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</si>
  <si>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</si>
  <si>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</si>
  <si>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</si>
  <si>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</si>
  <si>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</si>
  <si>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</si>
  <si>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</si>
  <si>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</si>
  <si>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</si>
  <si>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</si>
  <si>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</si>
  <si>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</si>
  <si>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</si>
  <si>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</si>
  <si>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</si>
  <si>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</si>
  <si>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</si>
  <si>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</si>
  <si>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</si>
  <si>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</si>
  <si>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</si>
  <si>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</si>
  <si>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</si>
  <si>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</si>
  <si>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</si>
  <si>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</si>
  <si>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</si>
  <si>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</si>
  <si>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</si>
  <si>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</si>
  <si>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</si>
  <si>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</si>
  <si>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</si>
  <si>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</si>
  <si>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</si>
  <si>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</si>
  <si>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</si>
  <si>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</si>
  <si>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</si>
  <si>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</si>
  <si>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</si>
  <si>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</si>
  <si>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</si>
  <si>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</si>
  <si>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</si>
  <si>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</si>
  <si>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</si>
  <si>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</si>
  <si>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</si>
  <si>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</si>
  <si>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</si>
  <si>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</si>
  <si>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</si>
  <si>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</si>
  <si>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</si>
  <si>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</si>
  <si>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</si>
  <si>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</si>
  <si>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</si>
  <si>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</si>
  <si>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</si>
  <si>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</si>
  <si>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</si>
  <si>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</si>
  <si>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</si>
  <si>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</si>
  <si>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</si>
  <si>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</si>
  <si>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</si>
  <si>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</si>
  <si>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</si>
  <si>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</si>
  <si>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</si>
  <si>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</si>
  <si>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</si>
  <si>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</si>
  <si>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</si>
  <si>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</si>
  <si>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</si>
  <si>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</si>
  <si>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</si>
  <si>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</si>
  <si>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</si>
  <si>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</si>
  <si>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</si>
  <si>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</si>
  <si>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</si>
  <si>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</si>
  <si>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</si>
  <si>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</si>
  <si>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</si>
  <si>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</si>
  <si>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</si>
  <si>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</si>
  <si>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</si>
  <si>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</si>
  <si>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</si>
  <si>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</si>
  <si>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</si>
  <si>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</si>
  <si>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</si>
  <si>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</si>
  <si>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</si>
  <si>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</si>
  <si>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</si>
  <si>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</si>
  <si>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</si>
  <si>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</si>
  <si>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</si>
  <si>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</si>
  <si>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</si>
  <si>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</si>
  <si>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</si>
  <si>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</si>
  <si>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</si>
  <si>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</si>
  <si>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</si>
  <si>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</si>
  <si>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</si>
  <si>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</si>
  <si>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</si>
  <si>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</si>
  <si>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</si>
  <si>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</si>
  <si>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</si>
  <si>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</si>
  <si>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</si>
  <si>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</si>
  <si>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</si>
  <si>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</si>
  <si>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</si>
  <si>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</si>
  <si>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</si>
  <si>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</si>
  <si>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</si>
  <si>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</si>
  <si>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</si>
  <si>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</si>
  <si>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</si>
  <si>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</si>
  <si>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</si>
  <si>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</si>
  <si>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</si>
  <si>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</si>
  <si>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</si>
  <si>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</si>
  <si>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</si>
  <si>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</si>
  <si>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</si>
  <si>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</si>
  <si>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</si>
  <si>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</si>
  <si>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</si>
  <si>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</si>
  <si>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</si>
  <si>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</si>
  <si>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</si>
  <si>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</si>
  <si>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</si>
  <si>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</si>
  <si>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</si>
  <si>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</si>
  <si>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</si>
  <si>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</si>
  <si>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</si>
  <si>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</si>
  <si>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</si>
  <si>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</si>
  <si>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</si>
  <si>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</si>
  <si>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</si>
  <si>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</si>
  <si>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</si>
  <si>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</si>
  <si>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</si>
  <si>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</si>
  <si>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</si>
  <si>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</si>
  <si>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</si>
  <si>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</si>
  <si>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</si>
  <si>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</si>
  <si>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</si>
  <si>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</si>
  <si>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</si>
  <si>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</si>
  <si>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</si>
  <si>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</si>
  <si>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</si>
  <si>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</si>
  <si>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</si>
  <si>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</si>
  <si>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</si>
  <si>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</si>
  <si>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</si>
  <si>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</si>
  <si>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</si>
  <si>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</si>
  <si>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</si>
  <si>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</si>
  <si>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</si>
  <si>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</si>
  <si>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</si>
  <si>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</si>
  <si>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</si>
  <si>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</si>
  <si>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</si>
  <si>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</si>
  <si>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</si>
  <si>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</si>
  <si>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</si>
  <si>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</si>
  <si>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</si>
  <si>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</si>
  <si>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</si>
  <si>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</si>
  <si>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</si>
  <si>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</si>
  <si>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</si>
  <si>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</si>
  <si>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</si>
  <si>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</si>
  <si>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</si>
  <si>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</si>
  <si>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</si>
  <si>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</si>
  <si>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</si>
  <si>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</si>
  <si>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</si>
  <si>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</si>
  <si>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</si>
  <si>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</si>
  <si>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</si>
  <si>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</si>
  <si>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</si>
  <si>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</si>
  <si>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</si>
  <si>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</si>
  <si>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</si>
  <si>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</si>
  <si>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</si>
  <si>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</si>
  <si>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</si>
  <si>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</si>
  <si>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</si>
  <si>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</si>
  <si>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</si>
  <si>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</si>
  <si>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</si>
  <si>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</si>
  <si>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</si>
  <si>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</si>
  <si>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</si>
  <si>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</si>
  <si>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</si>
  <si>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</si>
  <si>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</si>
  <si>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</si>
  <si>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</si>
  <si>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</si>
  <si>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</si>
  <si>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</si>
  <si>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</si>
  <si>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</si>
  <si>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</si>
  <si>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</si>
  <si>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</si>
  <si>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</si>
  <si>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</si>
  <si>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</si>
  <si>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</si>
  <si>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</si>
  <si>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</si>
  <si>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</si>
  <si>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</si>
  <si>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</si>
  <si>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</si>
  <si>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</si>
  <si>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</si>
  <si>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</si>
  <si>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</si>
  <si>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</si>
  <si>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</si>
  <si>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</si>
  <si>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</si>
  <si>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</si>
  <si>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</si>
  <si>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</si>
  <si>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</si>
  <si>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</si>
  <si>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</si>
  <si>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</si>
  <si>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</si>
  <si>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</si>
  <si>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</si>
  <si>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</si>
  <si>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</si>
  <si>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</si>
  <si>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</si>
  <si>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</si>
  <si>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</si>
  <si>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</si>
  <si>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</si>
  <si>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</si>
  <si>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</si>
  <si>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</si>
  <si>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</si>
  <si>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</si>
  <si>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Row Labels</t>
  </si>
  <si>
    <t>Grand Total</t>
  </si>
  <si>
    <t>Count of TX ID</t>
  </si>
  <si>
    <t>Sum of Quantity</t>
  </si>
  <si>
    <t>Column Labels</t>
  </si>
  <si>
    <t>Sum of Amount</t>
  </si>
  <si>
    <t>Average of Rating C</t>
  </si>
  <si>
    <t>Average of Days to Deliver</t>
  </si>
  <si>
    <t>Total Orders   = 2400</t>
  </si>
  <si>
    <t>Values for Display</t>
  </si>
  <si>
    <t xml:space="preserve">Orders </t>
  </si>
  <si>
    <t xml:space="preserve"> Quantity </t>
  </si>
  <si>
    <t>Avg. days to deliver</t>
  </si>
  <si>
    <t>Count of Gender Value</t>
  </si>
  <si>
    <t>Female</t>
  </si>
  <si>
    <t>Male</t>
  </si>
  <si>
    <t>Other</t>
  </si>
  <si>
    <t>Unknown</t>
  </si>
  <si>
    <t>For Matrix</t>
  </si>
  <si>
    <t>6 To 10</t>
  </si>
  <si>
    <t>More than 10</t>
  </si>
  <si>
    <t xml:space="preserve"> </t>
  </si>
  <si>
    <t>state</t>
  </si>
  <si>
    <t>county</t>
  </si>
  <si>
    <t>Sum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</si>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</sst>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
    <numFmt numFmtId="166"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0" fontId="0" fillId="0" borderId="0" xfId="0" applyNumberFormat="1"/>
    <xf numFmtId="0" fontId="1" fillId="8" borderId="1" xfId="0" applyFont="1" applyFill="1" applyBorder="1"/>
    <xf numFmtId="165" fontId="0" fillId="0" borderId="0" xfId="0" applyNumberFormat="1"/>
    <xf numFmtId="10" fontId="0" fillId="0" borderId="0" xfId="0" applyNumberFormat="1"/>
    <xf numFmtId="166" fontId="0" fillId="0" borderId="0" xfId="0" applyNumberFormat="1"/>
    <xf numFmtId="166" fontId="0" fillId="0" borderId="3" xfId="0" applyNumberFormat="1" applyBorder="1"/>
    <xf numFmtId="0" fontId="0" fillId="0" borderId="4" xfId="0" applyBorder="1"/>
    <xf numFmtId="166" fontId="0" fillId="0" borderId="8" xfId="0" applyNumberFormat="1" applyBorder="1"/>
    <xf numFmtId="166" fontId="0" fillId="0" borderId="10" xfId="0" applyNumberFormat="1" applyBorder="1"/>
    <xf numFmtId="166" fontId="0" fillId="0" borderId="11" xfId="0" applyNumberFormat="1" applyBorder="1"/>
    <xf numFmtId="0" fontId="0" fillId="0" borderId="7" xfId="0" applyFont="1" applyBorder="1"/>
    <xf numFmtId="0" fontId="0" fillId="0" borderId="9" xfId="0" applyFont="1" applyBorder="1"/>
    <xf numFmtId="0" fontId="0" fillId="0" borderId="5" xfId="0" applyFont="1" applyBorder="1"/>
    <xf numFmtId="0" fontId="0" fillId="0" borderId="6" xfId="0" applyFont="1" applyBorder="1"/>
    <xf numFmtId="0" fontId="1" fillId="8" borderId="2" xfId="0" applyNumberFormat="1" applyFont="1" applyFill="1" applyBorder="1"/>
    <xf numFmtId="165" fontId="1" fillId="8" borderId="2" xfId="0" applyNumberFormat="1" applyFont="1" applyFill="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tables!pivot-week</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500" baseline="0"/>
              <a:t>Last thirteen week trend Qty and Amount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Sum of Quantity</c:v>
                </c:pt>
              </c:strCache>
            </c:strRef>
          </c:tx>
          <c:spPr>
            <a:solidFill>
              <a:schemeClr val="accent6"/>
            </a:solidFill>
            <a:ln>
              <a:noFill/>
            </a:ln>
            <a:effectLst/>
          </c:spPr>
          <c:invertIfNegative val="0"/>
          <c:cat>
            <c:strRef>
              <c:f>'Pivot tables'!$A$10:$A$23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F5CB-4353-813F-88438D34AFB9}"/>
            </c:ext>
          </c:extLst>
        </c:ser>
        <c:dLbls>
          <c:showLegendKey val="0"/>
          <c:showVal val="0"/>
          <c:showCatName val="0"/>
          <c:showSerName val="0"/>
          <c:showPercent val="0"/>
          <c:showBubbleSize val="0"/>
        </c:dLbls>
        <c:gapWidth val="150"/>
        <c:axId val="608625248"/>
        <c:axId val="608617688"/>
      </c:barChart>
      <c:lineChart>
        <c:grouping val="standard"/>
        <c:varyColors val="0"/>
        <c:ser>
          <c:idx val="1"/>
          <c:order val="1"/>
          <c:tx>
            <c:strRef>
              <c:f>'Pivot tables'!$C$9</c:f>
              <c:strCache>
                <c:ptCount val="1"/>
                <c:pt idx="0">
                  <c:v>Sum of Amount</c:v>
                </c:pt>
              </c:strCache>
            </c:strRef>
          </c:tx>
          <c:spPr>
            <a:ln w="38100" cap="rnd">
              <a:solidFill>
                <a:schemeClr val="accent5"/>
              </a:solidFill>
              <a:round/>
            </a:ln>
            <a:effectLst/>
          </c:spPr>
          <c:marker>
            <c:symbol val="none"/>
          </c:marker>
          <c:cat>
            <c:strRef>
              <c:f>'Pivot tables'!$A$10:$A$23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tables'!$C$10:$C$23</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5CB-4353-813F-88438D34AFB9}"/>
            </c:ext>
          </c:extLst>
        </c:ser>
        <c:dLbls>
          <c:showLegendKey val="0"/>
          <c:showVal val="0"/>
          <c:showCatName val="0"/>
          <c:showSerName val="0"/>
          <c:showPercent val="0"/>
          <c:showBubbleSize val="0"/>
        </c:dLbls>
        <c:marker val="1"/>
        <c:smooth val="0"/>
        <c:axId val="615088928"/>
        <c:axId val="615092168"/>
      </c:lineChart>
      <c:catAx>
        <c:axId val="60862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08617688"/>
        <c:crosses val="autoZero"/>
        <c:auto val="1"/>
        <c:lblAlgn val="ctr"/>
        <c:lblOffset val="100"/>
        <c:noMultiLvlLbl val="0"/>
      </c:catAx>
      <c:valAx>
        <c:axId val="608617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25248"/>
        <c:crosses val="autoZero"/>
        <c:crossBetween val="between"/>
      </c:valAx>
      <c:valAx>
        <c:axId val="61509216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88928"/>
        <c:crosses val="max"/>
        <c:crossBetween val="between"/>
      </c:valAx>
      <c:catAx>
        <c:axId val="615088928"/>
        <c:scaling>
          <c:orientation val="minMax"/>
        </c:scaling>
        <c:delete val="1"/>
        <c:axPos val="b"/>
        <c:numFmt formatCode="General" sourceLinked="1"/>
        <c:majorTickMark val="out"/>
        <c:minorTickMark val="none"/>
        <c:tickLblPos val="nextTo"/>
        <c:crossAx val="61509216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tables!orderQuantity</c:name>
    <c:fmtId val="1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500" baseline="0"/>
              <a:t>Quantity bought by customers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tables'!$M$9</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tables'!$L$10:$L$17</c:f>
              <c:strCache>
                <c:ptCount val="7"/>
                <c:pt idx="0">
                  <c:v>1</c:v>
                </c:pt>
                <c:pt idx="1">
                  <c:v>2</c:v>
                </c:pt>
                <c:pt idx="2">
                  <c:v>3</c:v>
                </c:pt>
                <c:pt idx="3">
                  <c:v>4</c:v>
                </c:pt>
                <c:pt idx="4">
                  <c:v>5</c:v>
                </c:pt>
                <c:pt idx="5">
                  <c:v>6 To 10</c:v>
                </c:pt>
                <c:pt idx="6">
                  <c:v>More than 10</c:v>
                </c:pt>
              </c:strCache>
            </c:strRef>
          </c:cat>
          <c:val>
            <c:numRef>
              <c:f>'Pivot tables'!$M$10:$M$17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DDB-470E-BEF9-1CF74D04F4CF}"/>
            </c:ext>
          </c:extLst>
        </c:ser>
        <c:dLbls>
          <c:dLblPos val="inEnd"/>
          <c:showLegendKey val="0"/>
          <c:showVal val="1"/>
          <c:showCatName val="0"/>
          <c:showSerName val="0"/>
          <c:showPercent val="0"/>
          <c:showBubbleSize val="0"/>
        </c:dLbls>
        <c:gapWidth val="25"/>
        <c:axId val="627191976"/>
        <c:axId val="627188376"/>
      </c:barChart>
      <c:catAx>
        <c:axId val="627191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27188376"/>
        <c:crosses val="autoZero"/>
        <c:auto val="1"/>
        <c:lblAlgn val="ctr"/>
        <c:lblOffset val="100"/>
        <c:noMultiLvlLbl val="0"/>
      </c:catAx>
      <c:valAx>
        <c:axId val="627188376"/>
        <c:scaling>
          <c:orientation val="minMax"/>
        </c:scaling>
        <c:delete val="1"/>
        <c:axPos val="l"/>
        <c:numFmt formatCode="General" sourceLinked="1"/>
        <c:majorTickMark val="none"/>
        <c:minorTickMark val="none"/>
        <c:tickLblPos val="nextTo"/>
        <c:crossAx val="627191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tables!popular item pivot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 products are popular -</a:t>
            </a:r>
            <a:r>
              <a:rPr lang="en-IN" baseline="0"/>
              <a:t> breakdown by gender</a:t>
            </a:r>
            <a:endParaRPr lang="en-IN"/>
          </a:p>
        </c:rich>
      </c:tx>
      <c:layout>
        <c:manualLayout>
          <c:xMode val="edge"/>
          <c:yMode val="edge"/>
          <c:x val="0.14879973829609688"/>
          <c:y val="1.6385768998331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tables'!$F$9:$F$10</c:f>
              <c:strCache>
                <c:ptCount val="1"/>
              </c:strCache>
            </c:strRef>
          </c:tx>
          <c:spPr>
            <a:solidFill>
              <a:schemeClr val="accent6"/>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tables'!$F$11:$F$31</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5925-41BE-8652-879E2150057E}"/>
            </c:ext>
          </c:extLst>
        </c:ser>
        <c:ser>
          <c:idx val="1"/>
          <c:order val="1"/>
          <c:tx>
            <c:strRef>
              <c:f>'Pivot tables'!$G$9:$G$10</c:f>
              <c:strCache>
                <c:ptCount val="1"/>
                <c:pt idx="0">
                  <c:v>F</c:v>
                </c:pt>
              </c:strCache>
            </c:strRef>
          </c:tx>
          <c:spPr>
            <a:solidFill>
              <a:schemeClr val="accent5"/>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tables'!$G$11:$G$31</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5-5925-41BE-8652-879E2150057E}"/>
            </c:ext>
          </c:extLst>
        </c:ser>
        <c:ser>
          <c:idx val="2"/>
          <c:order val="2"/>
          <c:tx>
            <c:strRef>
              <c:f>'Pivot tables'!$H$9:$H$10</c:f>
              <c:strCache>
                <c:ptCount val="1"/>
                <c:pt idx="0">
                  <c:v>M</c:v>
                </c:pt>
              </c:strCache>
            </c:strRef>
          </c:tx>
          <c:spPr>
            <a:solidFill>
              <a:schemeClr val="accent4"/>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tables'!$H$11:$H$31</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5925-41BE-8652-879E2150057E}"/>
            </c:ext>
          </c:extLst>
        </c:ser>
        <c:ser>
          <c:idx val="3"/>
          <c:order val="3"/>
          <c:tx>
            <c:strRef>
              <c:f>'Pivot tables'!$I$9:$I$10</c:f>
              <c:strCache>
                <c:ptCount val="1"/>
                <c:pt idx="0">
                  <c:v>O</c:v>
                </c:pt>
              </c:strCache>
            </c:strRef>
          </c:tx>
          <c:spPr>
            <a:solidFill>
              <a:schemeClr val="accent6">
                <a:lumMod val="60000"/>
              </a:schemeClr>
            </a:solidFill>
            <a:ln>
              <a:noFill/>
            </a:ln>
            <a:effectLst/>
          </c:spPr>
          <c:invertIfNegative val="0"/>
          <c:cat>
            <c:strRef>
              <c:f>'Pivot tables'!$E$11:$E$31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tables'!$I$11:$I$31</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5925-41BE-8652-879E2150057E}"/>
            </c:ext>
          </c:extLst>
        </c:ser>
        <c:dLbls>
          <c:showLegendKey val="0"/>
          <c:showVal val="0"/>
          <c:showCatName val="0"/>
          <c:showSerName val="0"/>
          <c:showPercent val="0"/>
          <c:showBubbleSize val="0"/>
        </c:dLbls>
        <c:gapWidth val="24"/>
        <c:overlap val="100"/>
        <c:axId val="617239400"/>
        <c:axId val="364352016"/>
      </c:barChart>
      <c:catAx>
        <c:axId val="61723940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52016"/>
        <c:crosses val="autoZero"/>
        <c:auto val="1"/>
        <c:lblAlgn val="ctr"/>
        <c:lblOffset val="100"/>
        <c:noMultiLvlLbl val="0"/>
      </c:catAx>
      <c:valAx>
        <c:axId val="36435201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39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tables!gender pivot</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dLbl>
          <c:idx val="0"/>
          <c:layout>
            <c:manualLayout>
              <c:x val="7.2323898657551868E-3"/>
              <c:y val="0.31900815627496193"/>
            </c:manualLayout>
          </c:layout>
          <c:spPr>
            <a:noFill/>
            <a:ln>
              <a:noFill/>
            </a:ln>
            <a:effectLst/>
          </c:spPr>
          <c:txPr>
            <a:bodyPr rot="0" spcFirstLastPara="1" vertOverflow="ellipsis" vert="horz" wrap="square" anchor="t" anchorCtr="0"/>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8356442980819"/>
                  <c:h val="0.23109556899648295"/>
                </c:manualLayout>
              </c15:layout>
            </c:ext>
          </c:extLst>
        </c:dLbl>
      </c:pivotFmt>
      <c:pivotFmt>
        <c:idx val="8"/>
        <c:spPr>
          <a:solidFill>
            <a:schemeClr val="accent5"/>
          </a:solidFill>
          <a:ln>
            <a:noFill/>
          </a:ln>
          <a:effectLst>
            <a:outerShdw blurRad="317500" algn="ctr" rotWithShape="0">
              <a:prstClr val="black">
                <a:alpha val="25000"/>
              </a:prstClr>
            </a:outerShdw>
          </a:effectLst>
        </c:spPr>
        <c:dLbl>
          <c:idx val="0"/>
          <c:layout>
            <c:manualLayout>
              <c:x val="-5.182913501710066E-2"/>
              <c:y val="0.19969866307797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19077376553681"/>
                  <c:h val="0.27800290497464403"/>
                </c:manualLayout>
              </c15:layout>
            </c:ext>
          </c:extLst>
        </c:dLbl>
      </c:pivotFmt>
      <c:pivotFmt>
        <c:idx val="9"/>
        <c:spPr>
          <a:solidFill>
            <a:schemeClr val="accent4"/>
          </a:solidFill>
          <a:ln>
            <a:noFill/>
          </a:ln>
          <a:effectLst>
            <a:outerShdw blurRad="317500" algn="ctr" rotWithShape="0">
              <a:prstClr val="black">
                <a:alpha val="25000"/>
              </a:prstClr>
            </a:outerShdw>
          </a:effectLst>
        </c:spPr>
        <c:dLbl>
          <c:idx val="0"/>
          <c:layout>
            <c:manualLayout>
              <c:x val="-0.11508151693099995"/>
              <c:y val="-9.4811068253563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4662452044272"/>
                  <c:h val="0.19667612200893506"/>
                </c:manualLayout>
              </c15:layout>
            </c:ext>
          </c:extLst>
        </c:dLbl>
      </c:pivotFmt>
      <c:pivotFmt>
        <c:idx val="10"/>
        <c:spPr>
          <a:solidFill>
            <a:schemeClr val="accent6">
              <a:lumMod val="60000"/>
            </a:schemeClr>
          </a:solidFill>
          <a:ln>
            <a:noFill/>
          </a:ln>
          <a:effectLst>
            <a:outerShdw blurRad="317500" algn="ctr" rotWithShape="0">
              <a:prstClr val="black">
                <a:alpha val="25000"/>
              </a:prstClr>
            </a:outerShdw>
          </a:effectLst>
        </c:spPr>
        <c:dLbl>
          <c:idx val="0"/>
          <c:layout>
            <c:manualLayout>
              <c:x val="-9.4966912369299269E-3"/>
              <c:y val="-0.160822531396905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68912614932416"/>
                  <c:h val="0.1781489875112772"/>
                </c:manualLayout>
              </c15:layout>
            </c:ext>
          </c:extLst>
        </c:dLbl>
      </c:pivotFmt>
    </c:pivotFmts>
    <c:plotArea>
      <c:layout/>
      <c:doughnutChart>
        <c:varyColors val="1"/>
        <c:ser>
          <c:idx val="0"/>
          <c:order val="0"/>
          <c:tx>
            <c:strRef>
              <c:f>'Pivot tables'!$F$34</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60-495E-9D6C-034C95CCD970}"/>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260-495E-9D6C-034C95CCD970}"/>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260-495E-9D6C-034C95CCD970}"/>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260-495E-9D6C-034C95CCD970}"/>
              </c:ext>
            </c:extLst>
          </c:dPt>
          <c:dLbls>
            <c:dLbl>
              <c:idx val="0"/>
              <c:layout>
                <c:manualLayout>
                  <c:x val="7.2323898657551868E-3"/>
                  <c:y val="0.31900815627496193"/>
                </c:manualLayout>
              </c:layout>
              <c:spPr>
                <a:noFill/>
                <a:ln>
                  <a:noFill/>
                </a:ln>
                <a:effectLst/>
              </c:spPr>
              <c:txPr>
                <a:bodyPr rot="0" spcFirstLastPara="1" vertOverflow="ellipsis" vert="horz" wrap="square" anchor="t" anchorCtr="0"/>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8356442980819"/>
                      <c:h val="0.23109556899648295"/>
                    </c:manualLayout>
                  </c15:layout>
                </c:ext>
                <c:ext xmlns:c16="http://schemas.microsoft.com/office/drawing/2014/chart" uri="{C3380CC4-5D6E-409C-BE32-E72D297353CC}">
                  <c16:uniqueId val="{00000001-F260-495E-9D6C-034C95CCD970}"/>
                </c:ext>
              </c:extLst>
            </c:dLbl>
            <c:dLbl>
              <c:idx val="1"/>
              <c:layout>
                <c:manualLayout>
                  <c:x val="-5.182913501710066E-2"/>
                  <c:y val="0.1996986630779724"/>
                </c:manualLayout>
              </c:layout>
              <c:showLegendKey val="0"/>
              <c:showVal val="0"/>
              <c:showCatName val="0"/>
              <c:showSerName val="0"/>
              <c:showPercent val="1"/>
              <c:showBubbleSize val="0"/>
              <c:extLst>
                <c:ext xmlns:c15="http://schemas.microsoft.com/office/drawing/2012/chart" uri="{CE6537A1-D6FC-4f65-9D91-7224C49458BB}">
                  <c15:layout>
                    <c:manualLayout>
                      <c:w val="0.19419077376553681"/>
                      <c:h val="0.27800290497464403"/>
                    </c:manualLayout>
                  </c15:layout>
                </c:ext>
                <c:ext xmlns:c16="http://schemas.microsoft.com/office/drawing/2014/chart" uri="{C3380CC4-5D6E-409C-BE32-E72D297353CC}">
                  <c16:uniqueId val="{00000003-F260-495E-9D6C-034C95CCD970}"/>
                </c:ext>
              </c:extLst>
            </c:dLbl>
            <c:dLbl>
              <c:idx val="2"/>
              <c:layout>
                <c:manualLayout>
                  <c:x val="-0.11508151693099995"/>
                  <c:y val="-9.481106825356328E-2"/>
                </c:manualLayout>
              </c:layout>
              <c:showLegendKey val="0"/>
              <c:showVal val="0"/>
              <c:showCatName val="0"/>
              <c:showSerName val="0"/>
              <c:showPercent val="1"/>
              <c:showBubbleSize val="0"/>
              <c:extLst>
                <c:ext xmlns:c15="http://schemas.microsoft.com/office/drawing/2012/chart" uri="{CE6537A1-D6FC-4f65-9D91-7224C49458BB}">
                  <c15:layout>
                    <c:manualLayout>
                      <c:w val="0.2204662452044272"/>
                      <c:h val="0.19667612200893506"/>
                    </c:manualLayout>
                  </c15:layout>
                </c:ext>
                <c:ext xmlns:c16="http://schemas.microsoft.com/office/drawing/2014/chart" uri="{C3380CC4-5D6E-409C-BE32-E72D297353CC}">
                  <c16:uniqueId val="{00000005-F260-495E-9D6C-034C95CCD970}"/>
                </c:ext>
              </c:extLst>
            </c:dLbl>
            <c:dLbl>
              <c:idx val="3"/>
              <c:layout>
                <c:manualLayout>
                  <c:x val="-9.4966912369299269E-3"/>
                  <c:y val="-0.16082253139690592"/>
                </c:manualLayout>
              </c:layout>
              <c:showLegendKey val="0"/>
              <c:showVal val="0"/>
              <c:showCatName val="0"/>
              <c:showSerName val="0"/>
              <c:showPercent val="1"/>
              <c:showBubbleSize val="0"/>
              <c:extLst>
                <c:ext xmlns:c15="http://schemas.microsoft.com/office/drawing/2012/chart" uri="{CE6537A1-D6FC-4f65-9D91-7224C49458BB}">
                  <c15:layout>
                    <c:manualLayout>
                      <c:w val="0.20068912614932416"/>
                      <c:h val="0.1781489875112772"/>
                    </c:manualLayout>
                  </c15:layout>
                </c:ext>
                <c:ext xmlns:c16="http://schemas.microsoft.com/office/drawing/2014/chart" uri="{C3380CC4-5D6E-409C-BE32-E72D297353CC}">
                  <c16:uniqueId val="{00000007-F260-495E-9D6C-034C95CCD9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tables'!$E$35:$E$39</c:f>
              <c:strCache>
                <c:ptCount val="4"/>
                <c:pt idx="0">
                  <c:v>Female</c:v>
                </c:pt>
                <c:pt idx="1">
                  <c:v>Male</c:v>
                </c:pt>
                <c:pt idx="2">
                  <c:v>Other</c:v>
                </c:pt>
                <c:pt idx="3">
                  <c:v>Unknown</c:v>
                </c:pt>
              </c:strCache>
            </c:strRef>
          </c:cat>
          <c:val>
            <c:numRef>
              <c:f>'Pivot tables'!$F$35:$F$39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260-495E-9D6C-034C95CCD970}"/>
            </c:ext>
          </c:extLst>
        </c:ser>
        <c:dLbls>
          <c:showLegendKey val="0"/>
          <c:showVal val="0"/>
          <c:showCatName val="0"/>
          <c:showSerName val="0"/>
          <c:showPercent val="1"/>
          <c:showBubbleSize val="0"/>
          <c:showLeaderLines val="1"/>
        </c:dLbls>
        <c:firstSliceAng val="0"/>
        <c:holeSize val="57"/>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tables!PivotTable10</c:name>
    <c:fmtId val="3"/>
  </c:pivotSource>
  <c:chart>
    <c:title>
      <c:tx>
        <c:rich>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r>
              <a:rPr lang="en-US" sz="1500" b="0" i="0" baseline="0"/>
              <a:t>How many days we take to deliver?</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tables'!$P$9</c:f>
              <c:strCache>
                <c:ptCount val="1"/>
                <c:pt idx="0">
                  <c:v>Total</c:v>
                </c:pt>
              </c:strCache>
            </c:strRef>
          </c:tx>
          <c:spPr>
            <a:solidFill>
              <a:schemeClr val="accent6"/>
            </a:solidFill>
            <a:ln>
              <a:noFill/>
            </a:ln>
            <a:effectLst/>
          </c:spPr>
          <c:invertIfNegative val="0"/>
          <c:cat>
            <c:strRef>
              <c:f>'Pivot tables'!$O$10:$O$25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tables'!$P$10:$P$25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2-D652-40BE-B817-0EB1EDB24FE9}"/>
            </c:ext>
          </c:extLst>
        </c:ser>
        <c:dLbls>
          <c:showLegendKey val="0"/>
          <c:showVal val="0"/>
          <c:showCatName val="0"/>
          <c:showSerName val="0"/>
          <c:showPercent val="0"/>
          <c:showBubbleSize val="0"/>
        </c:dLbls>
        <c:gapWidth val="30"/>
        <c:overlap val="-27"/>
        <c:axId val="1084063056"/>
        <c:axId val="1084060536"/>
      </c:barChart>
      <c:catAx>
        <c:axId val="10840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0536"/>
        <c:crosses val="autoZero"/>
        <c:auto val="1"/>
        <c:lblAlgn val="ctr"/>
        <c:lblOffset val="100"/>
        <c:noMultiLvlLbl val="0"/>
      </c:catAx>
      <c:valAx>
        <c:axId val="1084060536"/>
        <c:scaling>
          <c:orientation val="minMax"/>
        </c:scaling>
        <c:delete val="0"/>
        <c:axPos val="l"/>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3056"/>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 month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satisfied</a:t>
            </a:r>
            <a:r>
              <a:rPr lang="en-IN" baseline="0"/>
              <a:t> our customer 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tables'!$S$9:$S$10</c:f>
              <c:strCache>
                <c:ptCount val="1"/>
                <c:pt idx="0">
                  <c:v>1</c:v>
                </c:pt>
              </c:strCache>
            </c:strRef>
          </c:tx>
          <c:spPr>
            <a:solidFill>
              <a:schemeClr val="accent6"/>
            </a:solidFill>
            <a:ln>
              <a:noFill/>
            </a:ln>
            <a:effectLst/>
          </c:spPr>
          <c:invertIfNegative val="0"/>
          <c:cat>
            <c:strRef>
              <c:f>'Pivot tables'!$R$11:$R$14</c:f>
              <c:strCache>
                <c:ptCount val="3"/>
                <c:pt idx="0">
                  <c:v>Jan</c:v>
                </c:pt>
                <c:pt idx="1">
                  <c:v>Feb</c:v>
                </c:pt>
                <c:pt idx="2">
                  <c:v>Mar</c:v>
                </c:pt>
              </c:strCache>
            </c:strRef>
          </c:cat>
          <c:val>
            <c:numRef>
              <c:f>'Pivot tables'!$S$11:$S$14</c:f>
              <c:numCache>
                <c:formatCode>General</c:formatCode>
                <c:ptCount val="3"/>
                <c:pt idx="0">
                  <c:v>7</c:v>
                </c:pt>
                <c:pt idx="1">
                  <c:v>8</c:v>
                </c:pt>
                <c:pt idx="2">
                  <c:v>6</c:v>
                </c:pt>
              </c:numCache>
            </c:numRef>
          </c:val>
          <c:extLst>
            <c:ext xmlns:c16="http://schemas.microsoft.com/office/drawing/2014/chart" uri="{C3380CC4-5D6E-409C-BE32-E72D297353CC}">
              <c16:uniqueId val="{00000000-36B3-4CDC-BB9B-DE2D63B8C156}"/>
            </c:ext>
          </c:extLst>
        </c:ser>
        <c:ser>
          <c:idx val="1"/>
          <c:order val="1"/>
          <c:tx>
            <c:strRef>
              <c:f>'Pivot tables'!$T$9:$T$10</c:f>
              <c:strCache>
                <c:ptCount val="1"/>
                <c:pt idx="0">
                  <c:v>2</c:v>
                </c:pt>
              </c:strCache>
            </c:strRef>
          </c:tx>
          <c:spPr>
            <a:solidFill>
              <a:schemeClr val="accent5"/>
            </a:solidFill>
            <a:ln>
              <a:noFill/>
            </a:ln>
            <a:effectLst/>
          </c:spPr>
          <c:invertIfNegative val="0"/>
          <c:cat>
            <c:strRef>
              <c:f>'Pivot tables'!$R$11:$R$14</c:f>
              <c:strCache>
                <c:ptCount val="3"/>
                <c:pt idx="0">
                  <c:v>Jan</c:v>
                </c:pt>
                <c:pt idx="1">
                  <c:v>Feb</c:v>
                </c:pt>
                <c:pt idx="2">
                  <c:v>Mar</c:v>
                </c:pt>
              </c:strCache>
            </c:strRef>
          </c:cat>
          <c:val>
            <c:numRef>
              <c:f>'Pivot tables'!$T$11:$T$14</c:f>
              <c:numCache>
                <c:formatCode>General</c:formatCode>
                <c:ptCount val="3"/>
                <c:pt idx="0">
                  <c:v>37</c:v>
                </c:pt>
                <c:pt idx="1">
                  <c:v>51</c:v>
                </c:pt>
                <c:pt idx="2">
                  <c:v>39</c:v>
                </c:pt>
              </c:numCache>
            </c:numRef>
          </c:val>
          <c:extLst>
            <c:ext xmlns:c16="http://schemas.microsoft.com/office/drawing/2014/chart" uri="{C3380CC4-5D6E-409C-BE32-E72D297353CC}">
              <c16:uniqueId val="{00000001-36B3-4CDC-BB9B-DE2D63B8C156}"/>
            </c:ext>
          </c:extLst>
        </c:ser>
        <c:ser>
          <c:idx val="2"/>
          <c:order val="2"/>
          <c:tx>
            <c:strRef>
              <c:f>'Pivot tables'!$U$9:$U$10</c:f>
              <c:strCache>
                <c:ptCount val="1"/>
                <c:pt idx="0">
                  <c:v>3</c:v>
                </c:pt>
              </c:strCache>
            </c:strRef>
          </c:tx>
          <c:spPr>
            <a:solidFill>
              <a:schemeClr val="accent4"/>
            </a:solidFill>
            <a:ln>
              <a:noFill/>
            </a:ln>
            <a:effectLst/>
          </c:spPr>
          <c:invertIfNegative val="0"/>
          <c:cat>
            <c:strRef>
              <c:f>'Pivot tables'!$R$11:$R$14</c:f>
              <c:strCache>
                <c:ptCount val="3"/>
                <c:pt idx="0">
                  <c:v>Jan</c:v>
                </c:pt>
                <c:pt idx="1">
                  <c:v>Feb</c:v>
                </c:pt>
                <c:pt idx="2">
                  <c:v>Mar</c:v>
                </c:pt>
              </c:strCache>
            </c:strRef>
          </c:cat>
          <c:val>
            <c:numRef>
              <c:f>'Pivot tables'!$U$11:$U$14</c:f>
              <c:numCache>
                <c:formatCode>General</c:formatCode>
                <c:ptCount val="3"/>
                <c:pt idx="0">
                  <c:v>150</c:v>
                </c:pt>
                <c:pt idx="1">
                  <c:v>182</c:v>
                </c:pt>
                <c:pt idx="2">
                  <c:v>163</c:v>
                </c:pt>
              </c:numCache>
            </c:numRef>
          </c:val>
          <c:extLst>
            <c:ext xmlns:c16="http://schemas.microsoft.com/office/drawing/2014/chart" uri="{C3380CC4-5D6E-409C-BE32-E72D297353CC}">
              <c16:uniqueId val="{00000002-36B3-4CDC-BB9B-DE2D63B8C156}"/>
            </c:ext>
          </c:extLst>
        </c:ser>
        <c:ser>
          <c:idx val="3"/>
          <c:order val="3"/>
          <c:tx>
            <c:strRef>
              <c:f>'Pivot tables'!$V$9:$V$10</c:f>
              <c:strCache>
                <c:ptCount val="1"/>
                <c:pt idx="0">
                  <c:v>4</c:v>
                </c:pt>
              </c:strCache>
            </c:strRef>
          </c:tx>
          <c:spPr>
            <a:solidFill>
              <a:schemeClr val="accent6">
                <a:lumMod val="60000"/>
              </a:schemeClr>
            </a:solidFill>
            <a:ln>
              <a:noFill/>
            </a:ln>
            <a:effectLst/>
          </c:spPr>
          <c:invertIfNegative val="0"/>
          <c:cat>
            <c:strRef>
              <c:f>'Pivot tables'!$R$11:$R$14</c:f>
              <c:strCache>
                <c:ptCount val="3"/>
                <c:pt idx="0">
                  <c:v>Jan</c:v>
                </c:pt>
                <c:pt idx="1">
                  <c:v>Feb</c:v>
                </c:pt>
                <c:pt idx="2">
                  <c:v>Mar</c:v>
                </c:pt>
              </c:strCache>
            </c:strRef>
          </c:cat>
          <c:val>
            <c:numRef>
              <c:f>'Pivot tables'!$V$11:$V$14</c:f>
              <c:numCache>
                <c:formatCode>General</c:formatCode>
                <c:ptCount val="3"/>
                <c:pt idx="0">
                  <c:v>312</c:v>
                </c:pt>
                <c:pt idx="1">
                  <c:v>373</c:v>
                </c:pt>
                <c:pt idx="2">
                  <c:v>351</c:v>
                </c:pt>
              </c:numCache>
            </c:numRef>
          </c:val>
          <c:extLst>
            <c:ext xmlns:c16="http://schemas.microsoft.com/office/drawing/2014/chart" uri="{C3380CC4-5D6E-409C-BE32-E72D297353CC}">
              <c16:uniqueId val="{00000003-36B3-4CDC-BB9B-DE2D63B8C156}"/>
            </c:ext>
          </c:extLst>
        </c:ser>
        <c:ser>
          <c:idx val="4"/>
          <c:order val="4"/>
          <c:tx>
            <c:strRef>
              <c:f>'Pivot tables'!$W$9:$W$10</c:f>
              <c:strCache>
                <c:ptCount val="1"/>
                <c:pt idx="0">
                  <c:v>5</c:v>
                </c:pt>
              </c:strCache>
            </c:strRef>
          </c:tx>
          <c:spPr>
            <a:solidFill>
              <a:schemeClr val="accent5">
                <a:lumMod val="60000"/>
              </a:schemeClr>
            </a:solidFill>
            <a:ln>
              <a:noFill/>
            </a:ln>
            <a:effectLst/>
          </c:spPr>
          <c:invertIfNegative val="0"/>
          <c:cat>
            <c:strRef>
              <c:f>'Pivot tables'!$R$11:$R$14</c:f>
              <c:strCache>
                <c:ptCount val="3"/>
                <c:pt idx="0">
                  <c:v>Jan</c:v>
                </c:pt>
                <c:pt idx="1">
                  <c:v>Feb</c:v>
                </c:pt>
                <c:pt idx="2">
                  <c:v>Mar</c:v>
                </c:pt>
              </c:strCache>
            </c:strRef>
          </c:cat>
          <c:val>
            <c:numRef>
              <c:f>'Pivot tables'!$W$11:$W$14</c:f>
              <c:numCache>
                <c:formatCode>General</c:formatCode>
                <c:ptCount val="3"/>
                <c:pt idx="0">
                  <c:v>224</c:v>
                </c:pt>
                <c:pt idx="1">
                  <c:v>247</c:v>
                </c:pt>
                <c:pt idx="2">
                  <c:v>250</c:v>
                </c:pt>
              </c:numCache>
            </c:numRef>
          </c:val>
          <c:extLst>
            <c:ext xmlns:c16="http://schemas.microsoft.com/office/drawing/2014/chart" uri="{C3380CC4-5D6E-409C-BE32-E72D297353CC}">
              <c16:uniqueId val="{00000006-36B3-4CDC-BB9B-DE2D63B8C156}"/>
            </c:ext>
          </c:extLst>
        </c:ser>
        <c:dLbls>
          <c:showLegendKey val="0"/>
          <c:showVal val="0"/>
          <c:showCatName val="0"/>
          <c:showSerName val="0"/>
          <c:showPercent val="0"/>
          <c:showBubbleSize val="0"/>
        </c:dLbls>
        <c:gapWidth val="219"/>
        <c:overlap val="-27"/>
        <c:axId val="1084063056"/>
        <c:axId val="1084060536"/>
      </c:barChart>
      <c:catAx>
        <c:axId val="10840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0536"/>
        <c:crosses val="autoZero"/>
        <c:auto val="1"/>
        <c:lblAlgn val="ctr"/>
        <c:lblOffset val="100"/>
        <c:noMultiLvlLbl val="0"/>
      </c:catAx>
      <c:valAx>
        <c:axId val="1084060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 lives?</a:t>
          </a:r>
        </a:p>
      </cx:txPr>
    </cx:title>
    <cx:plotArea>
      <cx:plotAreaRegion>
        <cx:series layoutId="regionMap" uniqueId="{00000000-DBC0-40E7-8DF4-61E1D16D29C9}">
          <cx:tx>
            <cx:txData>
              <cx:f>_xlchart.v5.2</cx:f>
              <cx:v>Sum of Quantity</cx:v>
            </cx:txData>
          </cx:tx>
          <cx:spPr>
            <a:ln>
              <a:solidFill>
                <a:schemeClr val="tx1">
                  <a:lumMod val="95000"/>
                  <a:lumOff val="5000"/>
                </a:schemeClr>
              </a:solidFill>
            </a:ln>
          </cx:spPr>
          <cx:dataId val="0"/>
          <cx:layoutPr>
            <cx:geography cultureLanguage="en-US" cultureRegion="GB" attribution="Powered by Bing">
              <cx:geoCache provider="{E9337A44-BEBE-4D9F-B70C-5C5E7DAFC167}">
                <cx:binary>3H1pc9u29vdXyeT1Q5cASCx3bu9MSUryKq9JmrzhKLbDHVwArp/+ObKdXIuSc+mZ6sVfajttSh7w
kD/g7Dj49333r/v0cVV96LJUqn/dd39+DLUu/vXHH+o+fMxW6iiL7qtc5T/00X2e/ZH/+BHdP/7x
UK3aSAZ/YBNZf9yHq0o/dh//828YLXjMz/P7lY5yeV0/Vv3No6pTrX5zbeelD6uHLJJepHQV3Wv0
50d3lUY/8kpGq4+b1/CfH/9KV9njw+qDm9dS9x8/PEod6f6uLx7//LgxDv744Y/x47ZY+5AC97p+
AGLCjrhpccwpEU8/9vFDmsvg5bKBMD7CDFuMwsjPT10CK+/i6Imf1cND9agUvNnTv7cH2HgN+Bp/
/e+vcL/+GmsAAsDiz4+fZKQfHz7c6pV+VB8/RCp/+lxV7+brV/10+/Rt/tiE8D//Hv0P+Fqj//MK
5fGn/V+XNoH8HyB7j+mHZQ4T7Z+H2UJHzLYYw4i/AbN1hE2LAMwjnN/F1G6kt4eYgPU20YGhfZFL
/Vg99v882IQeUUYZIyYzn35kvKbREbWpRcl4Ub+Hp91Yb40wAeotmkNDelVFcg8wsyPBLJvZ5ovo
5mOY8ZFNEKdMwJXXsvtiKkNvYLxBPgXgDYIDQ9eFdVytNbPS+9DP/Mhcy2xC2LPg3gEyIha3GRqB
/F6+dmO9c5QJkO+kOzDkP8Oaqp+gBzPkHzXKQBlzkxPzLdCROMKCIJOaI9DfwdJuvMcDTIB6THJg
KP+VFpHcg0lG+BEVxKbItnavbACZwc+2mbUpvqdztBvjEf0EiEcUB4bw7Up+cB7Becj3oKTpEbex
jTCxn1EWYyWNjiwTmxRZdBPl93G1G+kdY0xAewfVgSH+V7Z6yKs9oM2PCLjKJuawZDfdaBMWMwah
bYonkxxtgj2dod1Aj+gngDyiODCAnVrvw40m4mi9lC3zLZmN0ZFtWxQhPAJ4MkO78d0knwDvJsGB
oQuRslXzWK3UXlYwEhQjzF58ZwiHjBcy5aaASTCS1+9iajfK20NMQHqb6NDQztNa7cO1AiN6DSRY
YM9hki2o8ZEJVjgVlr0prd3JHL2B8yb9FJA3KQ4MYTA4wHd2VtX31Z7cKQub6zgI2m2DgaVNBScW
Aqyffptwv5u93ajvHmYC+LsJD2wOzNIPXl6BWbYXmc6woDZ+iZOJLRscjDMhEERR6C7j7F2s7cZ+
e4gJuG8THRjmc8gIyX0ATo8YQdS20dsLnnEb/kIjyT6do904j+gngDyiODCEF+mj3EfoG+xwbNpI
YDDCNs0zfIQER4zYozzWZE52A7tJPgHXTYIDg/W4zr7n6YP+52W1BaKYQzDE2kbWOkIUERNy1buU
9HtY2g3x1ggTUN6iOTCgv+bpPuQzhD4ZswT40ePlC3lqZjEESG/aYFMZ2Q3tBvUEWDfuPzBIT7Li
sYpW6T+/dgkGMwpz24LMxNNvnHdG9pENWtlGECJb/0YYv4ez3ThvjTAB6y2aQ8Nb9vtYwhDXNjEo
YVjGP8XxhiJGHBSxoJTzUYrqZCI/byD8mnoKuq/vPzBkzx6rfdhW9hFhTyHO50W6XqWbyIqnlDQi
GGrFXpcVTOVnN7Ib1BOQ3bj/0JCFysN9BDfpEYAG1XzWG8modSAErkH0egztVIbewHaDfAq4GwQH
hu7tOjmxj+yTOIJFiSF4/eL2btWKQN0X5CItS4xi19M52o3viH4CwCOKA0P4fJXso2IABC/YVsyE
LOLTb0fAWiAbUc5G+E7lZze6G9QTsN24/+CQVepxD1oX/F4LKkG4wM/QmmPbGZsgmrmwIIy9qXXP
V1M5egvdDfpJ+G5QHBjCy1Wxj2QTh4ot0Lwgm58B3sIX6uwBXtPmo8DVVH52o7tBPQHbjfsPDNnz
XH34SwaP6eM+bCvryLQxJvynbTVWvuAQYYtAeQgI8PVv5Py+k7ndaO8aZALou8gODPuv9fd9rGqw
uEBsQyD6rWoBqAcBbcyh1n5Tak/lZzfOG9QTAN64/8CQvVg9QCnIHqJZ9AgKQSCPAAX2Pxfshh8M
GtmkUHptIcgnvvaDp3O0G90R/QR8RxQHh3AVFfleSkDYEeAHCPMXs2tHrENQi3EMRvfTb4z0dM7e
wno0wiS0RzSHhvejfMjvo71khtcCG4Bk7MUMGwOOCRQFMUqIGJnZF+9h6g2st4aYAvYW0YGhfVmt
wCbbg/wmkI2Amg5O36qvh62vNtTj0rEpNp2j3TiP6CeAPKI4MIQvHqt72Jfr7mHvMjGpoJy+ZITH
JjdoaIuDbYaY9VODb+jpyXztxnn0XhNwHlEcGM63ebrai9AGzwmilny9o/UnjpuWGBRqWoLb5rgm
dzpHuxEe0U9AeERxYAhf5KCY//mFDLvTLWEKSDy81F9uVfWYR7aFoegejdyoyQztxneTfAK8mwQH
h+7eVq8NRT0vQnptWG2s3vVmRsw5uNBjPyqfxs9b2L6ingTtq/sPDNm7Ol1V+7CxIKFITATO0/Ou
pl25YiygBADZo4U7naPd6I7oJ+A7ojg0hB/DVbaHKAjkJaBah0Jo841S2nV/GKichz1Pzy70KKx5
N5mvN3DepJ+C8ybFgeG8fGxWe+kDBEKYYgZ7zl+iXVv5CQRVH7ATZit3PJ2j3QiP6CcgPKI4MISv
0tX9XqoD+BHo2LVH/CKrdyHM1rV7+DnUNdLG0/najfOIfgLOI4qDw7mG5mP/vDENe1QFoQx2u7xI
7LG9BV4xpJHB2iajzQ9X6VSO3kJ4g34SwhsUB4bwTQSbVFX0sA/DixwJbtqEvNTobRteDKr4mAmF
XKNl/C6mduO8PcQEqLeJDgxt2KX3wYseg30U20JhNYJGT1BcPfadGGyKIBzxn+0lNvMT7+JpN9jb
Q0wAe5vo4MC+r6ANotxLyxB+ZDNoDWPBNvOn35YAX4dL1n9Ble76NzK5b1fv4e0t1LfGmAT7FtXB
4b5uFVPJVfWwn/wUbHKCLeewnl9CnWMjDTGoI7JMMOS2V/r7GHsL+J0vOAn8nZQHOAHmkLG6j9R9
/hOCf6YPK+OmySBW8sv63oiSgZ8Nm9iRzckO5H9xNMWcfBv47WEm4r5NeICwn+arst5XI0fQ7hYG
gJ9+40UPXWWwgKp9IZ6d8y2BLz+8g7m38R8PMhH9MdkBYn9eR+rD5fdIFfsw72wo/cQUoisgAda/
raIEqP0FQx+6Cu1Y++9k7W30dw00cQbsIj3AWXABjaX3gf9TFRJj4JC/YfBBjBVzKFyxdqz8yUy9
jfzmEBMx3yQ6PLTX3Vwha7KHmDr0XF/XAcMujrfqFtDROmcCwdZRhAb8qvew9SbiW4NMw3yL7DBR
r+phih31zkb7UE7KIE9i/sxxj115MPCgbyBogK3NWc+gT+Tqt5i/HmM65K+pDg3xcLWXts2QNoO2
rRCZIW8VhuMjCNuYHPT+Ty/i+VyF28kcvYH0Jv0UlDcpDg3h6LHaixCHFjTUJNCN5DkIs2vDFlyE
tmNQl/Ri1L0uPrudzNcbOG/ST8F5k+LgcFZJ1Of1Py+512dnEHC88c8jUsAIH7vmFBo527AbYLSW
o+k8vYXyaIRJOI9oDg1pvZKRSlf1PpJnDHZZmtA9ir61xRbS4OZ6HxcD/b2xnt/F1Rtob48xBe9t
qkNDHArB9lHcAi3YLSIo7Mt80dJbgZenxAu1YJPICO3JHL2B9Cb9FJQ3KQ4M4Ts4IQUOtNqD8IZ+
YtDzAsJrL6WlW8kUDNlwaCUHbWA3IX4HS7sxHg8wAeQxyaGhXEMb22wvhynAWTgcEiMQI30ytnaF
0MBWQ4jjkY6+ewdPb+A8HmEK0GOa/wNI/57FjZdeH3T218/ltCM78v5D6qD4m1Lo37sb3XXfGgRS
HDbjPkfQfj772aeCFtm/TtZ71tm7eNqN7mvajXd8fsXff5T9HEH39vF0v07681Z6NXs6I/DVCXW/
v/r0+nC24Yj0xcjZ9cFeLp08/PnRhsjlK1DXY2xYR6+/4jMC/6V6BBf8z48GQpD7XG+fN+EMOhua
s8KA7ePzJWzBIRngRoFtxmEWrMOgEg7KC//8aEHUBK2Ly8019HC8HZhlKq/Xl6AdHRTIcNi9CW42
2GsC/Tq/8SpP+yCXvz7Iy58/yDq7yiOp1Z8fETyjeL7tiVXTFlDiCr1VKOxCIZCrgdBccb+6WTcq
grv/nx5IXpR13S1lS8Ssaf2wcHISs8RNWNtcU8PuT+OukcnMNBP9VedW8ymxVFc6Ssjyy6uvt4sb
UFtjbiALDM2cYGsTHN+4Vl6vubFkXyQirJslLiVaBskgfadmOQ3drtG5cJrWqr+ypjAip8q4Lt0y
rpLA8QfFLBfqBOWD0Nq8hDHC2sNpij4NtsHRoqe2/4h6A3Xz33OMwWLa4hiOpYMOJ8Jm0MXTHHEc
sRCw7fWSdHYQeLQb0k8N7Oohc8363HaavkOxFzGfOwOjfeT0iUkWWVP1yKuaXD+EnVLIjYzC9hQc
ztk4OgvNxmGVnQSzII/Dq6QWp5kSofLA3hOfVVieJWlrd7NIGfQiqsImW/z+rbZhgIpJE7oewsGJ
UIjz9NKvJgXrjaA1ilQtpfbF5zzgCDtWgmFqFLLurtquEreFj9K/f//Y9Vx7PRdhRxuc98UIdK+H
w98wWbP16rG22QVWoQK5lHxAS5SE9VKqyo24H37+/ZNg+Ww9ScD5NAwaz8BOOj6aZ4W0+qGswnzJ
C9NalW1epQtf8x47SRHOzLJOB5eYPc/dmNht9r8mzXpSbL4oTBRoM2jBcQvQ/HX8eNgRFoWBzKIl
KxN7lcW1vUrSNQ/2kKkZrfLc6U2AftGmZYudMsnZo06FOmlFb513lFSmS9o4T9yYyewTqQpMvJD3
/WNhNIVnGkPGXFvkVnVsEzrUzu+/3rqd9Jh/thYb0FgezlCFXombQJm0tqVt+8YFqv1sFVVaBQ4y
Ei0th/S9DE7bMEq+B1wU591QhnOaW13kYtSwH5oNQ+72YcBcK4+bx6gi7KGxi5Cd/p5Jy94CmVgE
JtHaQoYkk83ARHo9nWjFI7MKNbmIrbLwBfe0CIdFpzsi5rqpa7fqSvO6yXq7dsIwZG6F5ELhqlik
VoHdJC2zmyK1s85haRt8aeMsP+mV1k5hl8UnqhLu+aX03TqP48iJNIlbx4+VXLaFoS5LYyCzIEAi
dozBl5mLmzA7tqlOb3AcXAW9JJ2T1qxcar+80zgziEcbDB8y6jHIBqseBsdseXyehjb/6pu1dRpS
js6HoGuE25qhlbkw6aITg1d95rQ9HzzU2oY3xN19oUp9W5sGC50202zuq7I+sXyM78oQtcnCZwaK
nCFM/O+Q0KkaJ5Kl8a3OWOYVhcInSS6LE1SK9CFqCgrrnmTJbST8jjlNaQWnlV/Vbg/fYYEsLC7L
NutmVluVc4Q61MxSONgvcJs24KXb4NCfZYpUXl2Iy9A3AtNDKNfHoGpw60ozpg7XLP27y8zwDFei
uLWJthe1iA08VzQbVpzm1UyZXTzMm4QHc6PrzBVWaftDBUVhuwPWZu3IADfBvNNxDoujbWd90NR8
XuV+6KWaZMcSbnWgL0KVw4fOGubEKo4Nl/ktc1hud4Nj6dR3iTZktqhoMgusujevW4IsOO+4MlMn
hpmk50S3Qi06wrpzmgxD6l/XbamzzOmjtJfVQ+iHGA9fVWt0LAsdUYEoz+9xn8WaVHDCTV0X5lIn
Oku6UxGVw6IRtfZPsiqKCifGaX5rMoOcxD0htVsDBr7Tl6boAK6Mc0/6PuhDnSZtOaNJG5hulWrk
X4alSVl+nPSsDb2+S4U+p0oTmFGtnyPVujXowjk1wti/bGDp0MAtecFhwpFEZXOZRpVw0hKUlz/r
moi6hg+Wq+30viktOCfSzzI3FHXrz9uUpdlM+WAVzG0ZZIPLBxskpsSJVbtZWBmp06g+UFcqMrJs
lgcR/2HUDYtMz8yxXkQWr/nSNvzAP5WEaWbHruxUOfTHCsKRVTgrgpBlM181QzkXlZLRvE9p1h+b
SmWFa+M+jVzW2X26qKIyMlyAFX8ximxAHlQXJ5kH/5jGZRqbhoJPLuWXOMtEdkIqodNZEmp6M9Sa
kHls5BidhW2omHRYiEO98KumkLegjMlpHAw4mdcFcDDLdRoMM466Qbg87ov2IuM9TG0Dlkrl+QjV
pxWx7dQLfBLUHpMNwBkxBfaJHGIyPKYJRG08DgxkHumzsDxBZmQdBxFLqIuTpCRelEe+N9R+YjtG
WxXiKvbb2HJJVMaDkxXxYJyZfmrNUeEHNrArWDFDfTjkJ2GE2mCWCCtsnfV9DhKRkDB9AlK6XRsZ
g6O7yPhWQWfZ3nAiWEd4iQYZDZHDG8sgd33a4npJC9HnnhSlvrBrCSopUCwBApER+Fp+FCL5dUCp
DE/LPku7uWrtITpDOtB3Voztld35me9wBJN3XsuOkZmiQwTM1yjOvJSUiXJ5688iFJVf07YFyyIO
4uZW2bT9XlQhOW5YG/gzntgmdiT3YRw7zeNuLqsGLYeuINa10ja6Q9qAO1pqKO5q1LNu1uAsjo6r
DuP2RLJA4cvIYOKzNMv15IzjUi1YqkJ11fWW5q5ZtoBN2EpgLFcgdM9Ag4nPhJswuzOQkpUH2/C7
/EQr4eOruKqT5AZzKayTzorb+kJ3em18hn13ZScG7WZ5m8Gj83wYGqfDmR4WZsLWL79mvQX5BHwV
GVpatoS3qEsbPlWY5MngiqSBpVOkQRJdy4rBkq9qsAoCuAYyFWsZXpbI6ivpkCI0Ae626uqLzAgL
5URmXXbzDo5NJrO+KfFaaMBicuGNQIB0Aq3tZC2zzz4cJXLKmyjiDg/tBOZFH9BVKwmw0VVxf0N0
Z6qzAMzc+CwvZBLfctAWCyVNtCxFUH6FM/9o6YRWGOHTnAeiPvPDPGi8vmJlCwZuTxYFhs/qmqzs
75M0sa+6Wpn5cWn2TfKlpVmgjjPfyH70g1jLkKhMQw/8AE5mEe5DNS9oJr4Ypp/Ns7YISodZIOb6
qg1volyrM5Else3ZuMIBiD04G9xpQiw+V7HRBLMUS1gmg+ETcWLJHJWPGQjk/hQOVoC10a4l9iy2
DfiiXTM0M1AybXmGqhpT1xepbkDTksYE07uMv1WiEXdGD2b66SB0hR60kr1yMoRYcxK1GIbqMhQO
rtUGNDgpAJbWNRJB50PeNPqi61l6GzeqdDhTx1bWNfbx0FIAJzGRGhZFmuT5haSddW5o08pnYSmz
5izo2yJ0ua2y8A4sEfVgCgliBESnapwkVK1yRNvwErRAX96mQYmiv1E+EN44A1hg/adCE0PAYMqv
ZiEzkuDU8Iv2exiYRuOmTNHkJBImuu6U4Q+Lqi5VNIuGGiZphHVMrrokHexlRos0dcqiMemFhUKr
c3uwbtSsDQtAreUyCpxqYBnIDqXSGepIV3lNinm1GHgJsz+xuoB5vd+byvULRcsvrd2juzisYK6B
phOfYa5n6koKiUDA4kLEc56FtHW6+ivmdcuRkyQN+2RjWbZeawfaurD8lDc3pa9EBcodZvSsiAig
CY5D351HRCf5OauKkFzhzkzpid/lAt6r64zgIqmMovUy5YPMAGus1hdp6gP/lUiCuQp5EnptZ5on
fWnBuu8pZZFj+SG7eLJKX2IXV89G/rMDfp8XfRUFoR798T93eQZ//3tN8+uepzDFf/90Ed1Xucp/
6N/etXjM15EgNb5pY2R4+gt36/DFxh+2QilvBEtuHlWd6jcuvh1J+dXxcR1pgMZEBCQ2eEJ/vB5o
I5yyPsB73RHrZ5hrk+5XQEUcgW+KGYEWOFCMsN5e/yugYh4RYRM4NtqCmAkDt+UlngK1SQJCKQha
YllQcwbNZP8bT4G9JlCaDlEHOCrLYpjS98RTCIK33PCN4AnrPQwEzguAwC30xdz0OuLKSDAbcHiZ
mYPlX4RY2986ZIb8xK6kDK5yo7VPh7qk32gIFvOxMGSZOG1ntF9hRanPIrTyWyEiewDfs27zOZFM
f1GkRj4I9pTNaBjnjhUZnztMYqcLBstNMU5c3NErzuWiDtBl3dC7IO1XbTCswPy2YBHcUMXBoqLm
AqdZdIl7VjgooWDq+V5tVOBbxJVDlRG4QdUoNzD7VVJWjVu2VevUOFCOQuDf9QNPwdri81Q2nWNI
xh27BnEbVBVEZ/zjIqM3VmPfZBFFXgK+Xe93y4FXgScatCpleVsQ/C3kMXFyv2rnUsa1E+BhWPBI
gEPT5JELzbxvYsrOG67+xlkyT6hMz7MqP6vDpHZKH3PPUgw5VhVUDqgJ7hZDctOAU1ZaQ3FBIK7i
DNJCTsVlB4EikNut1bROlarI1aSDaJIM0nPIzs0GVvxNaNm4CpmFV5vV46CqHuyoLp1xVR+nKl6Y
IjtGifYKxuJ5bwjXsnTncIznda4DN4zhG5Q+at2g4fZxJOG/rKYDf0Tkn2WYPDCRXHMr9HiR3kNQ
447mOnS0jq1z3/ZPosK4jooSLGabha6f5b4T1PQ8gG724N5ZNyGld1aVxU5gsweay7OhJzdFz00n
MXnqScmYUzR57ORBdyYj5GqzbRwrl4s0MjoHgx8J5lHj1KX8HFOVepS20Rx10YwW+laC2eUarV84
ocnnVsmaZc2D3GG94tqprBOd0Owzz+zOq5L6emga6tgkXMqhTpzSMIkX9/Wnqo+/+01rH9Owqh3b
Mues4l8o5n8zP3BxhVZpFkQOeIZObTY3Rs/npT9cpkkEFgCeC/8KJmu+tJr6PBXJ1dDTbxEV4JMk
A5pXXVQ6lkj0iVn0Z5rCtEN2fJ7j3ONZBYwb/Av4uYYD6jxyUdz5rlFF86RNlnaRXRJRncHu76tG
8dLRDbi6AbPmBim/WYbhhTb+lIFh79CcnRYNveyjljiS1meG8OdBU+Ze5qs7HrPv1OguKlo/Yj+7
U5qdQIOB87hJ0IkZMgr+mFCunQMOfpw9pKiFJTYEzOFdWnuFpJfw8tTRbfh3Wdmxg8zsEvvoqrSt
eSmS74bhuzwXYHyESepkJLvSdc7PJQnPWKbll5CKykn7FDuGKdMzI63BCwr70vFNSl2WZavW95OZ
7tNrpPy/UyPvXUJw5YTCOhZ8OE+lvqhR4qa19RXMsJUmYNjY8NAWX8dF5KW+OAkLfalScwFhq2MC
Bso88tOL2qaWIy0u530iPQuDawKC1unt8BTcVnIWoUpeqy7x1WnXoA4EhGycDJPBE+BEHKOYf4Hk
WeoEOZhLThnFal6mpl5kCrgPZJ57RWfhtUl+apgRWoawsCAyE9mXkmWDYzcVgKNZ92UoZXBTIZSe
xVZsLzR8glmbGukxYkbvFAWcnuUEyg9Mp6E6PNYGMWIHh/DovjDR3Ij95DkO9k8r8/9ranrdWO53
avqvFIyOhy0t/Uz2U0vD5g5r3cKMg+fNLbLWxb+0NBQJgva2TJiAJijQsZoWsMXXWteUQlf/12oa
CocJdJ0FrQ8KFuP3qGnQ/GM1DUcjQmsIMP0hMgCt50cRYN4Fpah5WF/GkS5OeSqsi0p2Z1ympWvX
1WeaZV4Z6+RY5iwdHsNclcZ13fcQihkiF6IA6bUIC+nopL/WgXWaqyyHia0iBw09hO8TZCyitLEc
qwjnQdKEJxAjMt2gAGUMVnwQuqIp5TxjRVrf9kHxVYR97hiwA95h4KjHboGVddp0xnBqF7ILfbfn
fXRap4nXY9+A6V39CIQcIHNg+ose5RDDRIk4Seug+VxA85ozHNHkghMJIbrotqhJWMx41pvzAvHI
ayrD9FgjpJeTgXhpGmEHUwFWPRJnCav0rAyQa2us53ZXLLkdNk5DcjFv0gHUvq/B8w9le1y1aomU
Eq6W5deqDc571M5Cs/ewwhemFZy1w1rZxUXtROCxODHnblureiYBYSfwDT2DhwU//Dan3/ohbvx5
aZchqAkDokqhQseiqm/ChNzy2JT1SUFDQ19HSJbHEHx0ZRnS49Lulbyl2gQRGdY+axzCfGtBUNvE
ju3bPxK/bk/WVXaLWiaJN2Tyqo/VklrFqUzDZWniM66Nea7aUyOjXj6AR1BKx4wH146Kh1bim0iL
r3vxBP6vCQ/oVgdx+Ldt/NtfZV3bVv6a8pf8AFMekpJg6kGBImXrZsS/5AeIFriE4WBTYiObggX+
08znRyaDHhFCgIOA6dOln2lTMPPXh9iLl9Kod5r56+2JIzPfhJOioA8nbGiALK25Tj68ylUZ3CBJ
1aX5Zd1DEPgixoUdL0GmxXimdZZesahstJulNhgh5VUd8nsrCNtZhbO7BqU5BBKy8xJXX8HuOU2V
vImyyNMGzh0S+xfcti+KDtI7krWLgDSBV6nkPDTbL0MsH0WkOidvMIR0E5pf28EwR5kVO+GQOrUf
Jh7YfA5JdXyha8PpoI23V5FGou8YFGIHQfl03oKpCoYLI1V0ihOqgwXIKwvyDY2gEQQaCcTkfbDu
Coc2xQmLWLYomTilKR+sO+JrcI79rI1r0PFBaJ1XcaS+xq0vvbohGZ43dQNrR9fxGVOSxm4qbNXC
QofkhFC8io8TyZphVlaBWc4yqHEKnLTtvtcUwuVtKr+wwq5dHbYL3ohqUUR0Vfi577G27K5jnrZz
UucXkW+WLlbacoowmpWDb4KxQ2a533zCpv/ZqIYTzYybhmWubNoTq5deY+jzrrUvRUN7hxcUQkj4
plfRqjDyM8jFGE6u64uaSQgFG8UxD8FHqgS6aWrjBPJhM+mXSx4UPzDE8TOjPUaRPgVj6jjwy3MQ
xssMd8s6r76bvboRYXqMY/opEQ1YmezYR8ElDRvllGlxmxaDwyRYXYW5aG11U2nuka49ian1JWPU
MQVfCa5OUwgzujwjeBaLHxLlMyulS9LWszbnC6sYXJSrCz9SV2Aef63U4LGae4WBZpKFyyHPLiEn
6Ah7gDyqdaw6/GVo84sGx46VySVg6RZxO4dk+TL286Ui4mwg9rzW+jS240VBzW/YhrhMpC8Kor8H
OY9na+gDJsAlgaR1hhacdueoUdqphbmsMWQeynhZUXxd9q2rB+OTHZKTNF4jXIOpl2QnCkH4EUKQ
wi8fhaXcRqZfWBx+ys3wRofG3C/sc+giMMd1tjTjJnVoj85bq/veABMuxIu8RKJzvxlOOUMuJPjO
AwbmXdSdtV14AnoYQm599VgxfNOI7qbqE+H4QWNfM7taRLQNl9S3LnobZ5dVasYnGST6Qoh+5QRB
oA2+l92Vlya1z1sEU6qGaG/aKMMtaVt4hRIPfdAtzS7zrIycsyi47kpNvQ5M6CZNmUfK8puOe5h+
hEIqzV90ZdODu+F/G6r0ohVdCHGu+i6BEDgxCINAmVYznEMUHiWycEhmMdcIq84tGkPOcIgufMu6
saqocg0r007cAeJNDJmBwlgoC9J1TZwfF2FiuIYC/7Ts0IWO60UCjhdkgCGDCMoWZgeghbF2RK2u
SohYu9JSZ2CkV27Yq7N1QMDyk3NSGgtE2llGy2WBceS0ZXZfWBmAMRgeblXrxX4PH0vTazvlJzlE
DL0qB19eJmBd+0OnXSOu3dzEwsUh+DlxVJxnUVo7iTbcDOd/a2YRp8dZ4xrZsKwRueiS6P+zd2ZL
duLs0r6V/wb4AiQQcLgZ1ljz5HKdEFV2GSFAAgFCcPU7KW932939dUQf/91H7bDLrmEt6X0zn0y+
MtrDJo3IoehkkNiKi0QKc8ckeRpjdnKC8hA5U7ODnNulbjVfonRzSYyPE6B1mi6NwSVkpC+mZMYu
vRPTcqF6b04Yra5hrDwaNrGUc/tQsgCvd1if0hlTE9XXBbyzlPdtnVAtHmPTyjSueJz4gTNfrIo2
Zx6wOv337v/Q97Yx+r/f/b+V5fz56t8+8MfVD2LKh3yGyxXNtx8q3o+bHzURGAmQTQlBzNHYhYr3
4+bHc0rCeNMEEUQDx75hVj9ufoqKgQAXtcs81Edhh/gnm0OMFeSXix8PEWQEew3AKUbgJf6BKuBE
msBMlFxq1fddeOE0zsKbBDTu0LpZ7Iv6Op4IrTPOCg9T7zzhel4WL0yWEUtt1LjN9aR6B768dY4B
nKDLqXaWbCaDPLdF3N4vVM7Xk/W7C8DF6gustflE2rm+970ZWoYS8PVGG74XBO6h8qNi5wkd8CTs
R/XCgRrGiWPiOtNzB92k2dfEm7O1kcEb1Bvvm0Or9Y4MrJrSmEuVyMVrEmQ6k7VjfWaJIEngijat
eFjftO1UPBAR87upcxp+7wpgScO+Cb1+Pa4dL/pEU3BqNvNC+Fv4ByHwTCQxoN00LoM5UssrwClz
q7UXzW6iNPGzYmXGvWKsE7j94W0+OmIN2qQ3dRimFhaTTmYNixTb/9K/1NNEj75px3zFY+KycIUw
1cHVGbs+82TAM9foODjjetCvhagYSVq+dLhDXWApTo+7Pl0qSSm2pEEcF87CGDO+f7d6gwkPxARe
pkLxZRQNP3WsoOtlIPrxGPVRZe5WEXm7RQdypSnHCxOub4xTyPlOXP3/LiUEeJv+3YkAgPIVbWKv
w59PhO0Df5wI2zNJNgQWuz+q0dkGSv44ErbatxiPqqFoWUaPyK/LQLBVDaFLHUbntjD8fiSgIx/4
PCIxERCmTWn4J0cC6Ms/nAlbfcnWuM9gMmD5CP8gJsgyMqYxkbp23aY8dGWx56UT4Z0xn6fQLNh4
yXBhJ6L21F3pPrbTjRQ+EDPZvmkfQubgDIdm4UEeU72k5cxoInzepxPHUC6cmWR8jBy8w9maObNt
b/oy/sQDXN9GU5padz3DKb/QgX+AigiD1OH7fuk+FdBy07WPLle9YNNWtTnA6TmVregxecCHiKo2
Kf3wkhH/sQywpY9VdBvPYZ1JXd2Orn4lgS9hSJZPpg06XK+8BKoRmrQ26yWT4SdbwNH3KH2OG/WJ
WXOOa4xrYfPgBO3lGM1dCvP2UWrMUo4HCKeYzyHefND9d17pfCaVTcu+3I1uH6aD7i66UD2TCFMu
h+bNA7s3NpAJXhSvYxMNibQNT5xwzCu28gQyTJNRbRkolX7JYX9MuTFm2UTYaz1bEAQlPSiOUcbO
09XcGJgN6+ztg3rcCdbf2dqINKg9mTpkvaEF+0LG7qGelh0cyDahpbyxPtstvD1WMPSTIhxu2BQ+
8r4o885fnlkFyaeagy4Dxg15VVZwbKplyCQJ96Neb7WV4c7jzcl6zTtft+l0JI8QyjG7NqRImYqv
hQnJVVOEBxuV9/2Vz49sEhv8dWaLECnymLsqhKnh9zBrxxVTOB0NzNvoGe5AuUn7JGlUtfdabC51
q77UIVOZGBcIoL23ayJYsW6ZL+NyqBaIIm0r3rSm71il32flloey9682G9uavgR6aNpcLI3/RIMa
xM4SkSQsqlTJ/oRl7dgEHtgQvtNRWe88YEP5Yi1JScmWfTR1KkxkMI35bDZjY/4ar/Ws08CFpuXq
fr/2/gCJqz/5Tk/S3u8OMVM8UaTAzBeFsHb86ECcUu6Vtq8AWh4qV2VmaHN308/w0sXrKP6kqMGB
3I/mvve9Pq/i0uZ1OEGfg2mbeuvk5WPTiYQGzV2MBZqRgibALo8yZlgeBi9pay2yphR4X4TNlEei
83a0VyTBsxncndPQBpPmOp0XIm8Lh3+h5ezfjkV7F2nfxVpN9bEb8LXwcYaFsk754CvI3O56rRTe
KaK1NoHodlOEwQVvXTfrXOEnTOAbKNnLOHqnQd1Wvo8VU0dw7triaJm6skUzJwZXfkzUV39ouqRf
xGvrt10e1kOdOdaps27F62MOemC5fVBmfHX2dEnF+kJK+tXoCyGOg5rzSvVL2hd4GZi2eF02LIUs
/WWx1l4iqXNvO/8gPVgnS8+fnLJ+rye8ZYhUeG13wW6I+2PrtF0Sg7Pc1psH4I7fYqNgdVm87mgT
7mE0lbkPyjNxOlzMpuzlhUNscOnJ9sGp2v7KGuBDAPxEHsZrkdnVOOlUFAo+o6uA35hLo+soAX8l
kiau7rnGqznwS++oG8Fzv8BPHFAR0NxlvVVFx6CwUi8ZWrOm3eLc0V5PmYt/CQJIX2D0gaMFma/Y
mWUUmepH/8Dx8zI+P9Vg8JKJ9retT8+NGu7dwn0ogkplHjGnIgpITtfVVsmgtBbXnfX0c/2hXbAP
HWOAojF91zY+dI5qkzz6TfyIPnSQf7eEjy3B/VsK4H+arpLvfzEQ4KN+DARIxmBBoKgP2sqd4SL8
MhBA/Avw3/foBBaBHztChApZ/IeC0W0d+GUgiPAIaewaKKOkMfpoMGH8oBR+YToQJPm/X/+/n0MV
f0KPEasmwOcpeFx8nt42lfysDpY6nIWgUXPteP3nshrBRk3Nm7cExwZndCLYirtuykMMva4Jdyst
L+Klv5qjFjzZ3OJtV/VtMpVOqsOJ7MrA3bmK3s+VIXkUqik15XLhjkXGHAXI0Bufqoh0aeM1Fzzo
m9Q4+tDUw2vLLK4Hz/+KXWFIO6eFux/Ys43M13ry+jSqIdXDp8nZYoLEW+Sau5PTZHozfIHhjGk4
xVPqLy4cTiWXnVTLDVmCICNlc55sgF2+HJ8poOoMfNRX5bITePsu6y3EjNIMddKWNAk4GHQZxjdr
7H0yxVrCB6hqQNfOnDThiF8yUaVr2WF0b8sCt82RluNuCWGG9yCUEjLbp5WXl2Moz13RnTm+pkQt
FWQ4Qu7mqs4Mboa8luSy8MhDsTQjnIqpxVlOkagYDKDtGhOZ79NDS5cqLaLuUxRoJ2XuUk6QSkxf
lfcjEd0LsMCnZfXn8xgN15CcsO14M9jfXr/YEuyXrPdtNzNsOgFu5BmuzUQLkvAiuuQleaL9QJOp
mq8d5rO8rqc1I8Fa5msMzavUsbN31HRHHf41aAq1B4KYegALz4q9jvYV9OXO79jrsFC1n7S7b6ah
zHU3t+op9ri8x/rY1e9VuX6F2nW3UhfX18edW2seRa/aE1cFXt9Hd5TuwY5EXRNdxNc+XOzTEhep
H8N7mUN2GGHaJy53q5T78XJFxQplr1LtvAe8/WmWcxZWLb+kVr33qyEHV5Uxlj0W8fVfG/U77eQi
LPTf1RDQG9NfsU7bR/045+CihnHgwrlAJupDuvh98UGIGx0c0EeiwP/wQ38752I8dBmBM1gTcRBt
7Yu/Lz44AnEqwX4F4/fdVvkH5xzZVqhfxJAAZcweHhUJR3Z7UtH2kN+fzzk7FyXA18K/rtcuXI4r
Uy19M5yOxTWgStq2lw4g/kNUhE3qTPx+8Us/qWG8YTye3MQr4DYg41LnUzz62RC07sGda5FFlup0
MurVW9YynYLqde0Hm7UUISg9MAiWJZjWQtyIHiRhWYx51w5+AmCoyqNldQ9VzIYMR1wB4L82yey0
Jud6bKDKjOdJdnHihdUn47Hbiso9a1qdKptJs+6rHqe1cVvwNULdruX8pJg6YtALkqpRALVHIFIx
+Mqk0utrLPQtY717mFrCkrghN8QdAU34q9oBYZYZKRqF9ED/jRbl6yRworZOCE7jHctJkCFBkRuH
llnTyktL/E+dLLtkwNZ08AdkRrBBdmndAZygCsfXGsU69Yw907USOdHr+wT1Z1Lm7MXz3gthynZq
P9Ah1wg5EOEZcCldnWpD38cYkZa5WBNAJmSlF3JZD2uA6MNUFvBNQ8ihbfUQTY2EG9wdWqTPrBIP
Texk4yhvO+2euTMBUKpA3gbtrcGPdGp9pKVspeV+dLxoF7Hu5AXtmxx4kyLzdgE/6QIcvEz9ppDs
hKtc33rW7YoXoZuS5ANVpbx11nHp9q0nF4zPtfsMHxjKNTP1FxLQneUA0CoyfYkHvgtJXKZzhN+u
pvkdo/+QisHGSWvsYVz4lS+LKMeGvOz6kX+bHaZx1SyfQRE+jKu99Yz3grTUyVXr5woqesqCgeZh
6X+tiD3Nbrm8NBw4HpgA5JMoFt8NGArc/iACfQtI+ACwyblAaudhqfBlwbwHxFJG14UFWoaj8ZuP
u3HiY50ENYvzkS3uYQ2/eUL5QN7HJzOCd247n2QN+Pu6jOk+cCrEaRBM6rwAF6+B0K/4l7LuV8A6
y7qLZtGlYin3xBk+V7M6KLxtUrmhbcgfJF04rPlY4rr1wPba2QfTo52bpXCe9eieWEe9TBDxGBS8
RHqBhMlQLNAFI9zvGBLCOkzZqE4SDl3Cka2Y+ihIOKu/DXy87lr/1QzFBWtWgflbXCHXdu4oYACs
rWeJIEgCjdSkAiC25hVPxGjmfW8B+Y4cQzqJ8Wy1Ovq8hiqHF3qEIveZ1rS7Xx2GNZ5HiECR4DF0
+L0lDiS7+bnnfnXseHxcbX8uyqg7F2p4ZrbYg/i8dxg7chpdO/Fwy1323vnrVdvqQ63w2lzZsmad
BysAOao7Y9S+BnpeTtVeCx7ntY1lgncPexnMcORETHdFZOBmyGbX2vnMxqHO/x3hv4/wfyv0/0/7
+lXpvxjhf1L5N00PHj6U+d+I3N80PQ+dcUB7cZ/8gQ+K/oPHabl4NtPWbIGs6C83GwHeC0nPhxIH
CTf8JxM8Vog/3Wy4PQETeJBtcM9uj+D7+WZTXbDWwVIM125DH2qsimQIzq0/3NYWqsK8bZMgzebW
8w9iWUTWbhtnse2eo52KxO27HhDlPGVI29y5/rqmvAOyOvsjS4bVg7S2Le8x/i4ZKp43UB+OcakJ
zOzmXm+78CpVlHjKXjo99uRW4hSYt93ZsQGs8G2fbgzeM3qc+ysXy3YIdugStrq8EJvTpxjB0VRg
eiTbmj7AgY22zZ1xXiarlg9cRgB/tvXe1cOxx75fRGOZDzUiOaHfviO4+YTQm7O9Qw8KaoGzyQZF
P1yum5CwBuUbtFWR9MG0pBpqg9RH4V14mwLBXzVNx7g8KFWU2bw5Av0mWYRLDWS1sWAU1qHLOygb
84oNxo766wTNwxu7GRcUviBtiuMAXWRx4MEvMnfWiwmSifWjlwASitq0lHgJ4LhAXgEHfFNteotv
IsTXrXddM71pMVPuRS5+JDQckrEsh2O4aTeIst2RTc2JIetYyDuDjJBk2RSfyuPejmwq0BAa6EEM
WxrYgzFvNrWoqGdAxW50QSAkLVPlJwFMDhFJ6IgDpulNdeopsrfRAB8ZBKvNGZIwebnpVOXo0rSA
dFU6G61bdfveFaehDh/8eH31NsWrXepkxEQvDIdFQXidwNPAEQ+RbHYNwUHdn6iHr2WFkBbTVqR1
4Un3pvNHeR8VUFAjPWDTUderr79UalZHYpwbvMBfY1WpRItSnnjtPeveXGqE+TIn8pFOn+k75NF3
Ey7LbhgtJKchKg7I1721eIsmCp9KWgMn28HNug/Agp/byD0ZIT53K5iB3gMopfhezc5Fv8B6GcDO
7May8BJVF+Cuh+FqFCvePuaBl8Vbz8PoICkSjcJp74uV8sSS6VNPw2Pdj7B6A3UCrtVgw2PtLhrk
kZXBo+YuP5lRMgxm6z3+zvmihxWHgJNSuACZTj/CbEYjlegBNt9RC03MZQXLvML/NCgBtXydpmQY
pDwNZLKpdQBP86Xqk2ZoxnS1g3ou3aI8SM71jWBBnMwUnhgssl00gYMmuAbLkSM/JKBAEVXhB9TJ
vGgE5L+qrvBuH8lxqDZBUzCeaTId3TVyj33Ej6FXNHuGzyXpGcUVvL1LI2RgBjGuierlwR8xZzgs
EwpKmhAjIMDG8fBO82GruwRsrc/DLC6HbPQ9ICr4H8cPbkQZJ2owj54V50BPJ0WXq9jX9yaE2r0O
7Z47MOdli9lP1t4V0PTHSkFTh+Fw0/rTbY0ZN6rt5dCuz0OBm7xG10LSKvHEDDn51j0sw/AwRsxN
+km6iasUxahrL+qhz0NXq127QJkn2l4Wmt7WcmlyO3t5SLoTmSaZLMOEuah4qZBMgH15hYz6TS9C
yA9meCuKwCZTvT43HIuz30dRjkDey9CGCOpAzE1G0j0o7p+t06ncNHjVoJRgqZ/oJEDb+0zCUNmU
O64Qp920vH+v8O9XOJa1/76dIhQ7/pUIhw/6aTnFM8UZuixcCuMVRN3Py6m7XZx4oEOIdXN7wMv/
iXDbk/cCD+1km2GGa5r9ZNTjYW2I6YPLDQKKJ5nH/j+6wlGE8qfl1IPKF+GzA0/sb5/fz1e46eyA
dDKn14P1Xby5zXFefFjGglLoGP1OUTLh+lw+hdiHsqH0v8DKvhjx2sqCLYCIJIEPC4efR3gkiXQl
lllXJ9HaTZkdzJXV2DH9WKtUqeltieVnXsFkaZu72hd7uYwnQsld3+GOF/0yJXFHBvC15EK2gOhL
J3wc6lgBjmtHRAOLx1WJTwFyzzhvV5sy214HJb32ZpbHvTqFTX+sg5UeV1NgN65JlBpu9+hIyUnU
fQNmfDfNZXCScB8RTHuLKpBfw/pkASYnNYF+TpExThjIr4x2RepayIhhx59mb3qpIY+nvOYHMimZ
dEMIYY0Dchtx3qZVR6/qtj81NdCdWetvveFeYh2FE7OJriuEMNK57K9FYLqTbUfk+Src+mGrakQW
NbZltyyuBqbcDFfOyhKkdL5FxNRXxg+/rBW+uV3R8luCtGDCB/3OgfJeCtUcg9jBIUC6Zc/lEF0P
lW1h1sz4qcEYTXSJ9E2NyR0JYskTHMlsXxkInkwjbOnbsLx1S+rt106USV9WyFVICtdinrE9trTM
3aURB0oR9XGqiuwF31o/VnRYMAsLFcfcoS0KL/PsAh3OH6qdj81158+0yXU7kv2oaJtLKi6AI5/X
UVwDTDuOS7lmVRt9K1ZAlCJs/dwZKpot0yJyrwiXfT2VTe4KjtSQ7y3AIvt4Pwr4KcLqaR8TJD3b
UqPGAxnpO2h10X7qAp4jwyYOrlsUGcxmmgyUOrcN2veTdsVX2lvGkgoW9S4qgTYJkBfJosoud5C8
RpSyrk4Brsx9SfjDQoabaXJljujMAuSxe1PNgBwxZ0j797F/6mIcxaW3tdWs27eoIvJlHgLxKBEz
TwYey8MyoZqHWESFsNl710GEqZJ3K1QRfN/BUjnTIZqhKPLZxxAcTtXXuq1CMNVhkZuydQ7uKHZT
0ORFIXHLInCatLHUCUSwNsFQMiWOmKNMd22TMiPY7eqB/bTTHZvbOh+gbVSIvTVXKKoYD8gyfxvl
+oacE9+NHbCbJm70ZYVcakotyxrdsyNbZiyyTmj2USH9O+JMT1WsRidzxwnbJScWsZZq6r7M+KzC
1QHPxkUDMYb3e6daHjxn9iBGlCyFqnGS0HvyeV68JDYTqPsBERRUm0BvKfNKSufk+FChKH00uN5T
8P4PbS9OoZA3czikjhNeDsFLEZLzpJh5xlj8PjPAqcgkJRIibhbN03wxwRQ7xPEooDVBLy9r94Lg
X+MdPxvjf+uR4YfV2Vy6s+slJg6f1ggRvUqsETTv9usQAoBBbcNRieUWVVcXENIQseOGZrKNsB1X
CGRZw4PMLsompsI0pPHH5QAvIRyAgi4LfoRe315PTnnf2OLFVdPnzsfxELmdycJan6vZe7U1Y1gc
KCo/BlXuvMlD5oCit8bXuRED9okVZnozmEtIW58mdM5moePfxBbJOdWG8gjgGX9ydOHO1Y1JuxFZ
P+EeEPeVqfGLnXBVf13F45IIVDokjo2z0er3oWAQWkyVoXGDfQbm3wa5kvZSkvGL8sOjnIJnpHyD
I0jVROj1DSEsNHAoe8AX3ew4QWtI661Zw8IrLnDKxMrBHAOuOnZUYpR3cHp2WOYeCkoF37mab2EL
XTRkwCRfNW9jFB9CSa+8sts7fr8v0byBn2lqGw+/Dl55VFXpUE3fhiq8QZXPmBu1HMdNNZs2RdSv
b9GW4OAumNKGLmc+NrctBDev4g8NBDjO5CHcFLkJ0lxTjelEIGjJYgiTFvJdgTaYqkkjFzz4AHkP
W+57MUFFwz3mLPshIkOEvahu0pLJO7fS+l9547tyT/9Wud+eA/f7U6n+LHNsH/1jSPqof0NEYJPH
P9IKvw9JoBkRIUCKGZpFuLUz/DYk0QC/gxgUpqHwR/rhd5oxQs/YZlWyLc8Q/CN0CZ1NfxiSUD+F
YDakAeSwXPRubb//U44htoHT4fn0/MrBYZIFG2UXIWF6ZBt5B7gIEN7Yjwj3MmziYYpxA55lMfeD
eFxELfL4A+WTG9Un+660bsI22s9+gH9w6TYKsLRY/kliG4OYRNJ/5wXRSwV4sP4ACYEsalCF4wdi
GI0Q4HUwbjyIE7osWctVPLSqMY/+WAqSNjAt77kXIb1PhOC7rmvyFe0sw2Hh6Epogil8kp5xpmSB
HPnUtTFkRhp065L6Et0lAKV7mUKFjG5obbrPFCfzZyfoMDOgKwN9OKYpruF7lFHSRKK6XIc+Qq1N
scI9jSpWpLEiR1m6bdpSMV2iZKm9Cpk0d7gSeI6WEOJD/JZArZwiQGS7j16IbC1KPsZYrYnRE0Ol
VFQFYSq8JryDcq7WdB3b6tDocP3SElRB8dJHqild3D7QCBrHgeiKxKdTrY6RoeM+0PiBDFllHfN5
rBCLzGtTmNwX3sQl0gIcjCV4SfRcQD6ZQTXEh7iM8MeWTpf70B3X20Eb8UJjOdzG4RDuRIOqNBzS
Pq6qubuK6dDNSKvju3kjndK4eYkijzYtCzX1UE9R/XUdVUR8rpuBPNh4QvIsYVMNcUy6VXNwqRxD
MN1dIY69p4U9tWHlz+9sjsp3uPDhfhppsWsqrvqkiglPAMEtiFXoMKujaniGftzp695B4JphH/53
q/u+1QV/t9WB0Ro/HhuAx0P8+dxy8bE/zi04jwEegE7BVXoeFjicC7/Js+Q/iGeiY+H3De53wsLb
dsE4AP7gBr84jyEe9olrHKHL79pt/E+WO7Tl/eHcwp4YQqHF3wkcCxnTP55bbbjGG4l93ZgKDQep
7pV7aqznnyT2KJEK1uKAKjF6WOcikuCXRNDCCBQs49KB9TiKB1uO5zqy98a1F0sBKbNDzDpB9whK
ZKoV3Vzj09wuV2FLj0HFgDsVKuk3KMBa+CpIFFiQGtUKXqvF+AwvFEGTMLZ7IJnfaFSO6fwRI6zq
JUVRCcl17fTw8PzdJEQESwzTBzytzwuDyjE0/pJjwGkzV3cPPoNO5U8OAZtYprRb3XSZx8Qv0VSg
ZfGpib1sJACbIYNlQTW/4Y2XiKJvs8ALv0BbqVLDqmeGHiCcx+xIbQRjB/M32q6eWenvoxDhoWKm
Ow6zKKFDeyDMBJlREWJCiL4uPgYlLFNviyre2tFeu4r38LTGz5UbV2nr1/u6tkdM/RJdArPOtMHE
hGzU19L1MU968rlTyH/AKqJZMY3vrCDr1VAvr1UXFGcMoqjbQwQnwTydOzLyQKSHOvNR1pZWATQo
BVdvP8/12Qt6A7wKVxEGNz3uUBqYrn5YAQwLFQIh1E0bdLflEQflVcYrcAwih8vFjWxWw03bRZBa
swKUfjpCj0iQpOPY91Aot7hVkUt3qM4gDJt9FM/jPQnM+gSZnWfKRQlTjTj8JURIIDpzXX9WGoIY
pmT2DB6xvRu0199wRqpj5Gl70ccFKLmlUaeNYMcC4/viophlt3WE2YtJr4jvr61bvNmociKU2jj9
URL3tlaxl3M+d4/ugm/8vogIe3GQmfrmRyAT2y0qO4/LlNdIzy4tdP1hC9SaLVo7aLRvIWs7wvqy
yN72yOAOyOKiKC1OnX660ltMt9gCu7iXobRtId5wi/P6yPX6W8C3b130SG6RX2R/US5XJvUWB5Zb
MJhtEeHVr4HIb7HhcAsQq48sManuw+/hYsSM1RY4xl5rnmJU1B0Z0Af0MiCY7ESIKA/IKtsttIwG
s8xuMeZ/D/OPw3wDzf+7RLeNoT89ou7P5/n24T/OcxBzKLcJPBTVIssR+RhRfzvPvf9QZG3waAhY
a9gRfplDMYN6CPG7aD1D5AUf9WMO9f+DPl18mAuhLvqQ+P4BSYK/51eOBDXGwEdiRPHxPMDgY0r9
aQrVhMKHZ2F5XaKKYyDnyuffL3x0KP01k+d/dAf/XrqKARxCZYS/CKXKqFbGF/XrpNt6yo27ZrGo
FcZmyKd4ZwkRehe29tJCJQDwhIavPdL7ImdOp1HSMUbBPXhwaMoRYmiXoQ7jAZNf0V9O2kG1ZTuh
O+aSMcdF++UwLWXmdl645sPs5qqb3e5Qc/QfamgBe4sheK8VoIfZY95ec7/PweiKPWUd1EXDbtDl
Wu6RkHSzSZWIKjplQ/IS8TpnL1vYZPdSr/wbWiTNjnoV5CXYTK6TI47iE5HGoOPd3ENaD2eJ37r0
fpRdDQuht/3tCOEMRYnrbnU8VAta/kw7tB4CrUjg8GEMj+sjNf3eoNNknpgHQNu5mrh5Cmr60MfD
va7Xi1KaJxYAX4xYD0mx8i967aMks7/gXBy9sqyPnp4qjPvsPCNTFLltBCBY7d0Ka4FboG9ULScd
uJ87IZYUaUkEXbHX64qJQyz5xWTdN5AH2IM7CvyiQPYharx33qgmW+I4XxQTyRjjbCqhEu1Ga4O9
pMV6RtThbApnb9saxQhVuQdroDN0g6Xl2uFIrC7bOaB5QX1Yorzbr6s+Frq621jJvZDAdEqnPup1
694ZPOgfVueat/e4b84cudzEAQD5BQ12Q7rock7RgrezKDBDow3uIWwlmHNl1sKytF1/OfsSoonA
fVmjZRAoKoj7UgT3gQ9WkFp/OsCACrDGxwTlMvB23GW87Bms3TLWR1PbZa8a9x0zwFevDaK9RvPl
mcYIOqIsMKhuOxm1ECX9Kki9ugXI5DmnuBYeFn73S+1wYFjO1eiFj0jT7hteoF510XlRYwSgqI9t
o1sj5S4WJBO6yAcPwUw214e5IftoHknWU3zjAxkeBtd88lZ4QR0Yc+j2L9j1LpU7UshR9hQ07s2K
v9R4Ek2YPFl9D0Kl80oG791x7PF/2TuTJbmxK4n+Sv8Ayh5mYBtAzEPOkcMGxkwmMc/DA/D1fcAS
JbKkkqwWvWgzLbSQRDIyIwLAfX7dj5fGfNK56SNLIRyVznyA5+JszAQ/o20+1bO6ihgwBiaXvnO6
o5GnJ8Cet2GQqEgZKQn01H3FJfS6lJ2QZlNPrlHg/jFu6mg3IaJ42Eoxl0KAA//z6Iztk5EO6zFM
R9+MwltjwE8qYjax+RAfuzLdmzYQ13lQr5USPeK4f2KlxJ5dbuwl1G2Ph9pVDrBlZx6w1qFO3G1m
8SRz7NbXSxWAbm9094ZMDvx+RzMRb3qvJKtJz+KVWzbRRtOr5JIbY7oblVx7LaVjv7TMHw2kxSkA
NBSk9yMRktWIQrQ2gOiiKXWRXytgKZJsgUnxmF/VGnAOyWVxGiozvmAmA3CTsRFvvb6yliuM6ZxR
1O2GtVMHzvtsOYQATOuqtKiSQ2tdYOsGrCUrzK+Gix0s0lOyzX12nJyF8KWZ951gl6HXaFvhUGE0
UJMj4tRDXqXo6ZKd/ACKe0P+4sWyHhI+eb/uFQLmY1vg48qsc1BFvNlzFWPoK9+NMElWVj1FXHLQ
iQ3zUYRVyvs4pdtwCk8JOhvs8+Au7cr3fnS9JEDkTJhl4Aw8BBafsl69tX3KUT7ZDUn3zW7kTWbO
ySaEaYBqn73i2NlElv22AEx7B1mR5MciRiQVcmfhILZPpzbAVYfBN4GUltTa19zqxm1Vm35SDK+D
HmxZplaM9/0b5IBN1fAxp3KjBfazWrRXkKfPplrmK3dMHsZsOhWu3HW1ygUuk+cwmvax5BIdx/MQ
5NswD6CEZNZ91803Zmu9jpF5KeG1OsbwLAlnqZJFtj0PG6C63CxE4/FprAsrfZvrGJJjYm1BGRF4
zup41TnxPmzHaB3pBdxx03pQZz61NlNRfgv7sR7iQ6dbiMmxABUXHeuABYsSF7dxPHe7Mgmfzam2
V7qA+p3ra243vtKPZ73gt88j++T09g5aPiYL89VFvQ0AcVdEoHHL79IcLA2+CPzU6RfgFj4sLaJi
s2TlG3wRXXrgvfbjeSxWkPAPRj/dtZXgxzTaA4zdXWNab4Go9oy/UJSHB9bIPhnaecMYzy45jm6F
MX4LhGTDMBdvwiAzrs3x2TWzbQ3/Oi+6mVx/uRtgbu0cN59OHEuRXTXm5vjNCsqjaMDdaVrZbYoc
ubs0DHkrNKyRwOV0RuPmpRARbGjh3OAjK5Eh6vrYqnYISWLMN6ZlfcTYXfxahMqLrCy+L4hBnAIQ
VnQjzr6OXWz7mg6F0peTdgYJHHz7aT77F8EAztM/jTnLCLLgRzRyw6buOuofs8Nqaqp5XgTKJUme
rPSauu+G+XuQ9E/nnP/0Esuk9dMkNfEtttKelxA1DhT7pq9uxuT23/8ay+L010nqO0VFmMyGumXq
DIw/v4am9VMu3Ti8EfjiHftmZnExPkJT+/cv8yti5fd3i6MeHjGd+CEK6a8vQ/fBpNvpEN70OayQ
hLMOLGulfuqNWzmoK6ttoJD99yjxNy86H+KfHyX8z+x/Lkwzn/98iFhC9j8OEZr+G/oBidrlSLBw
vX46RBhLmTtBW77gvwdo/r7x1+iW4/AgrKUpAI2Zv/W3QwQdhJwrbJIylqUjKP01qNevX/0FPKQS
BHZhBqCdG1TS/vp96YI+abO50G4LFjwijU92mHr6MK1/emf+xUVMifmv3390coQn1C9Cx1zNoOx/
fSEA9in7zlTemqAh9h28ZGNtzv0hB+JDkDHkrixttjhdeeNO/alOqydba8A7463yJAP8Om3U9Dg0
pstc4dLlABpghQK9hH+aF9lWlcdEhSt7WdRHbfZQ8YKeVmW3pYjxsIKOWTm1VvsO2GNPZ8fMEtg5
1vnouVgUvEIFBeOaFsvttNgE1rDRDLPze+I3fpuObCqNZ8Wxz67Ruyt+zZfIyEqPoO0DQb97JR8v
imJeulgMhFBZfFF/sgeIfJFBHiJHqE/4cmEGhMPga4vrtx+6O1OZN9Lon12n+dRC+y3MJ55SpPJS
eDo+PQW3ZhMcLZjBG3YbO8sNmm0bNXxCTfNUWuEudozQy6LoiDHkvZBRuhlymJwsItj0lmPFw2zZ
NhM43Kjd/MaddBGCkhvDQeOZMo41le7XPFt7W31q2vBcjnm/KtXp3q77LcLkjoQrlEikG35QHYwN
fRVepJkPylRlXt7Vjme7b25H0hSeQV8zwLe9ka74avucgG0+v2RLxvSbAzJoBSHmrAw9nuYCR0VN
MkC1p4sGr2eciCJIICObVM1uAVwnG12X2zk3zmEYhKtONbbuwHsbyRQTtGUOflW7b6iZO7wn92Ux
T74+t1cIqhxggB2v9C57aGW/V8108BtdfAiKgFahnK5ZHJtUEcw32ogxro2SAS5z81XNtK8aA72X
juquzNw9zlkV+7/cYj25y2muGGnVOdn6XHhWVnzMSfUS2W3ESaB8xHif+KBAORL0+ta2pach1LNZ
BrvMVwyzniGjtTpG9Zci4aS6mR2lmzzTGhu4luBcBgAv7HN2hqwLX9hyozpyWSNzaMgyE6fYpHoi
IN9p6F+lcPexqW6GuWwwuKXVcE1NfVl2S5U53IwXPz3HLD9NtL1OXlXFN9ItYWan/kJ85F5NlU+E
BWikWMJLvo3YGwak3bbDGSj9UkLoVHITo4YcTk5DGkNBrDXjlM1yO8Ss7kP5aiV2y8GhOoexCLy2
GomsLJzz9lQlZMu6didl90KNB1FUN/GGRICDL8+pxSWrF+ktFtljpij7OcOXEoVRtJ7HCQfRANpG
skJLJPPO2Kv3UWdtx7L7TAmWeCN4rsKqXmSzxr67j4wGAr2ymyz7y8jhYjan1LMz6LVT9pYZD4Nk
w9X3h6oEpqQQbCgaT9sQLIbx2RF+1dcScOeg6ZtGjbC4zNWw1e2k2wgV4084GG8LE7cbS+kHChs9
Q1bbXi1uphL0cJlgAJmMa9cJ51wpFF08Lkpr6HBK2ZVazqT0H26jvzqsuWjwjKkGyQugDUScFsLb
z1NE27a6EUzWdCsnz14Z2+AwPpTnfdKtlC/Fc7VGkfCCVXAk/ND7yCT7f//6fxhifn95l/UqTBht
qbn99eWboDcHxern28GGLrZ3BXCk8U1h9v/rr6MhktmqJixD/HGKcTueWTG8+Vs1PtH1tMqyTzfc
w0D8D6/z69Pv97eT95NnoIq+haX319+nJklv9mokbi3z2FgEF8lWG8///ncx/tVn9vMv84cX6SMh
Wo1I4+2waa94gtfDTnx1IBuvyjMIpXB1j3Cyyjfa7uni+NnqMpzjzbVdB+u75CBXO/YEp87nD/rl
hv+sr//+59OWkfCnyfT7h4qGiOnQ1Am/fc/l/jT9ZnTmkCIS6i3+uktwJ9birD6HB2pmyJz70+rw
qm5H71Jv5M40vfxIruoO49GGGKr3/Uf5L9Bl+QL/+SC5zv7HLxvSH/9ikOQv/hgkUaMhuZKvQHhe
tOOft4vqb1QGcbYgkI10tci0P7aL7m/MkAaTp0bPBIMm/9cPNdr5jc/eQEPGzw8LhKH1r6jR2q8X
kylM9GHkcGZK7PQsO//wPa/DAF+EOpD+MMqrXOzfAz5whdF3ZSdtc0ujEyZxHpYvplEBpTMz2NK2
Au45x7rZKkNxmEOUHArsGh51xjPkBttviKJ5FR6NzWzgksyX7hWGokUV6Mt1HbjQ1hdbe4K/nc4a
No6jE7FptJ9cPPA8VYqNBUVuZeOP54YQ7hoc8108PgeSNNWQVA9NGXHqU2J3p4rwo8BvP+riiAXw
Al2P5c9iyRdNAtHIBHZX4dfPZLydFgN/iZMf6Mdr0GmHzqpaOnH6BzEAiwxr+oZ6if0bX+S7xRZz
1y0hgYb+nY1bjp9WaX3ajpv4OAN7vyVb4I76S6GVxaHqYV3SYvhFG6K7aAkk8GN+uEV+k5qYyPRh
od1ZZXkdSbitufUAoiQVbRKBxui1CUsMUQGAClwnnxaa2bjEpcus2hoEqFGI7qWVhjtWkg4in0kB
jpxnP4kVa90r440dSbRKQtkx4WzEHxQjTS1xNjpgr5YMd0KYOwMOiazyRuMLlRdL3htt6WZeEuCO
mK4ODEbndmzZq1XdOGNj45HoniKl+jb3kYlHnX1Bm/RUJI2Y5Yw5G7d5DFYH1LW7r1DE7vRUe8LS
RViAHqedtmilYaq/zgJyO1KT2z/2VhZeiFlWh1nkDf0dSrqrzHItE3GvghNhyHCww8CVgfoeXxfe
DO7E3lnpCowLPaTmq7IqZM+SejJFKW/DJAg4IRMatMQjXV+4MhIiNj0Ho8xCvil4i9k1B8n4jMT4
1dbzU6AkpATUusbj2+UAMPsvRt5CFTH0V0XL3hivQQSE9nZyDSThKNlpAlqNXbb+CONM0fSCkI+z
mYrUHxObmE96sgKbjjiF08qEtDgX30RWOuuhd6yVZU4Y/dKQikQl+VAt5cXUMBxG430WdadpUB6B
GL11PC45JLjIUMqxHpuL0IOnsUiOk8z5tALtGubENKMmeKSb7Ah5kfyLFhobvWJuTR33UmjGa2DL
J0sgQGZhlpD6YKSmi+q9Ndx72SSXsGpQAJeAlD3cSNW410GwrfIgvmvYBkC59uDAHkKiSb0lj5Vi
vodTd12OK2FhYmI2b6J43ulNvqoEWZK0nV7M3nG2Sajk7Elw5nGbA4dQY0miXWlcBfRreUPcvDRt
ftDd4Zzq2j4S87UvcAUPFNh4tS73VWMurXmLP1rJ7jERv1PDhuMwzZoVku92KWxZYwt01kFXQpGM
MK3TeLKbDXhHSZUntCBV3tgSXtFYYix3XO5SUERTY7gtAbWtNJjUm36Y7qh7IEBKzlXwFnBPutMn
65z07odpobBVtvWkWcaZ/Uni6T2m12GqWJEvt7gmmoEviAfNLTaZDbhRq9p81eJYd1Uz2+VgetSs
A7uUd5Zn8X3r5/BBFca7nWNsDDXnDBw72Iahomw4v9+DcW9wa6cq/UX2u0Y51lotMtANVrWedGqs
8lgzllDvJsVY2XRz8JDU7MLwQD0W8VCAu7DjjypSLhZFPGugzvAh4mcZDTeNG+1YqHybGYHXHSQq
HMsCB3ldQcdsTYVQeDvnzznW/PA8a+G06qwB5qpqHk2neXSXNEqz5FKoMHwD2elCgBp0EODzSwBq
dGUP7bvVKbU3980tiuIlIvCiE3wZCcCoSxJGL5pDNmvrNDSydd+ZdwRfzr1LR5m15GgSAjUOwRoB
PRSPO1kbUwaCSb5/1InhQLw9UIV1TZZ8TgrOhJ9mfnGX6E49XXNT3lUyueX7wJtAyCcn7DObuCK6
xfs+CKpBlkTQ6FL7QERItdoDlXpHQ4xPhYZ1hSiRRaSoYsuCk4Orekkb2RlmtQnRnNIPFm/xkkoq
BMkl7rE+sM1dQXCpWRJMNlGmMLEgbSzpJnPJORF2IvFUJft5yUApKfVX31NRSz6KfIS2x9Uc++6S
niqXHFUqGngAS7YqHJEJlrTVf6ey350CaLB/PpX9blhdaJH/PJYt6u2PsYxMLlhLfF/E6Pln3V/H
MgtNDQwFTD0ObYh4P8Yyi5JyeDeoYiiC30n/P6Yy67cl6cP/ZGELW1Ddf2UqowXgl+meqQyxTcX7
amqMZZpJxPfXE2M/mSa9dcoFbg5QaWaJmGu4yKyC51ZXblJ72imtoXtJlN9BznCXeyzMuprmsakr
/Szp9nOjwsxNemBkllUClpkCv64dCaOhfQfJeaVq7q0S9XkCOkljr3MigdCsjVKugkp/YkMLqCBP
/LDL7mFlUhZQ6x8WYQRW51Rd6eLOFWzrpBOYxC2bZzHa3yDIjZtEVg85OXxbZUE/p3O96hWsArlb
vxg9iaJYrQgRK3KTUGmJnqRs6AXqV6rSwIhh9WsEkGzaPj9Esy1j3wxQAWZpJoofjMZblQ3KdJfI
wRk2uOBkTr1O25WPfZ2IisIU1aCAh3VoWUqXBgDMDRQ05gxcve3Vk74ezEKuUiW57ZOJg3CBHlZS
9NOL5GtngxoVBjeIGDKA3l0w4motlLdgkmz63B7pciof7JE9lZprb0nWQh13Gw0sHACKFjqFFbTt
oRbFe61FScNkEJVizfOfvZqVG7CiUzTTIrJNFi/po2CviMw2rdoR/NwojJeCKZz0SHlTces+CeYg
j2I/INfujR5W+yIDXq2225wVbObaBwLSL6jYTLipPu0xDdBEaIg9mB38Zvzea72DVxfgUmJ7B9eT
n+cZu158IAEB+Yy3b+WogbL44/KbwBGPmZMNm7xivHMtm0V1DN+B2HV8TVsmozULevIPqgSzqE13
op1T1MGW0MAy7DSVeAh5wgY15X1zo9+AbqTAVNvVLRDlxN4H2bxNhx5I2dwiNYUkLfOb0R222qhN
jHuDZ2BcbIG5RonJDjonJWaXj6TG8cc511wBp+Q27W7sw8eqmE+NjB+avH+JO3Wnjg46URZVnoWP
mLWnvh3p6UERsrXNyLrUKkrB2E/CpO+Tz2SEodLwsylTaK4RLdFpNboBZ3urz+ab1lAgVQjYDn12
nsPgPqeDYT+ZXXjSFeMBIsd7obR0vT42vaoCSXHvwijxKwJNRTUfGku9CjeBIV0m2zZuYBEi9pS6
fo7b9C3vw3ir2Nam6iaWmHXlR1VIn48CKwuW+Bc3YHAROSRba75IMdxEwnmm6fFYtgrmtAVXZb7r
lbB8ESQPcxgtk9xz3UiIWOo1q4W6FhpYEFoNvThVLoFwtwkU9J7nJeD44n0IjHytkxFyKeFb6UN2
zDL+GJ442fUdQ3G+d8L+RCLuyJ+c1+Oo6wd6Y7tV6iC1boDBTziVKY+9jwQeJ5Td8DWJocabpJmw
vXyblXaHOvraunIj3QEJkx9Bd954YJ/z3lA80sO+roK+7/RdE1Yvk81gr+VovdKwTo7W3ztqneH9
kJnXNPpL3Dd7SUN2pgzBqnSMOz0J94CE7rQCk+Y0D2dzkLRdmcU2KBpn7zbVLkrtbeykz4mWnkLR
PtkF9iPOWrDXDZ8VwzkizJaK/pmV8EMT81nk1fBh5FxqgkjVoN2MWd7vw4mUVRIPu0yrj7Wr3fMl
OZR9xhXW0CIUiM1gYzLs++EFw6I/s2HYDK1g/yKpVlKPii6IAkhlb0zGTjTGpmvqfT7LncSGCjLy
xJhCx8981w1px2xRn3W9OY4VX1mHpULeZk/00r6l9CyBQNx3jfHZGtUhKq09aYbr0MYPptM+QmfL
VqYFDNAkgD047ylLajXvcfjS5hxozWnqCizDGleYKs9RmR5j9tNjpj+4GeQyWnthMNQYJClOM4Z4
Q4nwjZmXx9h2vv13Nvk+m6jMCn8+mxzjImz/eSxZ/tKPseS7d9HAfahC0vueC/6Hd1H8pqusFn+P
wiw6zj+mEg5lS06GEiILjfcfW0fSNfaC/7M19oX0mEO1+gtikf3rmnqZSnQEDHaO0MotHcXo16lE
DfSOtYVtXqBw6s2TRvEDEPliylUfwF2PJkQCLib5lup4oq2x3rI2vxOKTi5Wpwq4iTEeeJ0tMGpN
Ds+NfV42sz/ZA+ft3mw54+HMOJA6lVAFsnJO78o8fQYJd8/Z7G2UGpQ+Xb9MVlH7RmHG69kGYRnW
0XtpR9ZKE4W2FNlGgF0Vb+yImBZJ6mH0ADqutyRpgpfKLcgUAtVg9ZRFeThe6aNvvTzuaac2m7Qq
YYzao+WVPdfL2VAmYnEoALERBxydMwmclZ1kUAzVuwaGNCSxid06Dzy1KvCAxNIr82RXJ8ouBrBF
22zxLgDubzPOuviL86c4VD60c1VM59JAP4BghqNxTr0gCx7V2rnLmRjcadgm853aWU9yaJ8xPa2N
gvTs/01H5/+/Zp6lpObPL8QNecniXxwQlr/19ysRTqaFOsrSnk9AGEzgf3cRA+KGwIQ0awn+xALg
/3Ep2r/x30HOqd93/N8l3R8nBJNeTigxtmn/7fzwly5Frtyf9f/vJwSgHICDbBVzCiabX6/FNCcQ
PXaBfYHHdQi7eijOndQmy0vyoeJLXCxfaEe2fLW/f8tLd+mqKr9/+7skeh25HijmnvyoLVKP5/4W
P73Pso715XIZlWpmrUo3eafrNOY0z8VGCos2XjpzOQp1LFMVbH/5PRH/Z9mXanrXkbF/IH69c+UI
64cSz4zjfihi5ZIGhYPBaqiJkyvh61R10W0QRLF1G2WTfWsWDhtZA2abTrAq4wBjBrkoHi1boYkb
MUOu21ENOjJSbRRfe9S6AU6NfE65BwE0SMsdRRrJhE7XnKkRP8jevDfJlZFRLa5izh57g5RuGVUf
2sIBt6KeqAftZk2XIHro79FSp4x5+WL1Gmjv8dpHeE51VGNlUHwlRycIF/y1UVWq70ywcdrCNtaq
ET1DW3ZYJqdvWmg+MB/dJEmFMU+Jv2qu/ciw84kFjPbHnDfFdLo7W08RyMBP7yT//krDO/g26fQ/
84DfiZlFbr3s4/PMeawzVduURcqhT+84aSTaLsKBWwxD4+cy3usRPjETwxtBahsnp0jpUUlqWt/F
dNAr7S6gWcYDOkPEwdB2Zco2WnNS6bnTqO05lOAk6MVXUbq+07e5R4gv4DzC8aJwv4RRebRc+0hX
TuPFDmltfXYf7IDQskt79RgoX0133mRi3MMpvYQNuXZ4DX7VzNYOkxsmpqD61pWsb61Y4nxV8g8Z
uSO5keKFr3QHMo1SAmvZD/D1ujNU7padU146TnqIy8Ft5uK1CCHPhJF6H1QKiy1kt5UYGxPTIM2t
fN/wgpYvfaI1lIJ2h45PsGv7Db1q8XY0Mfdaoi7XNKTu82G6GWvzWW27i9vFjwkuWS8W7TUPo/uI
mm+g1f1WDS1lj7Kjr4aouZ/s4JHA+d1c91wiKuEaOt84gsTx5KtNcNsH827KAoXQkfLR1Ar9DEaV
bicTJWtW3cyTPQGj0GwJIQnDp9V8PpSVfZNQTL8pHVN6VV/oXj5kHYAEeYLO/pV+ukPcU3fatPHZ
SiqyScI+0uimboVLU/UEDlLlAvANNfnSiEpuJre7cRvjZVAi4fFAG1bJlNMB0+vf8onxj0fafT9X
lFTZYBApALLtcV7RGk6EP+WAK+dipxh8O4NF922z+DObtBkFzX4xJakAjA77oUyxpjTanl2S7hNr
PUUDwAoLiI0ncsPYyDq5iUMLSm96n2fDhQYwej8iGw5Ykq7j3L3VwqLeWBlLB1lJ7CvNOK3qwnqU
Kkkv0YhvgWa8MSZ8oK/sa6kjBoYdSwdF+zRa5domiBx5nl9zjNtrze0fpqlTaTnKX8vJOJrUgJoD
4ntEl6BtjBYHBKey0ToEnRhR/a5LCgA1E67rgtnqTcIMykjPRsoKZpjfG117rR1X37kC2mDl2rdz
PxSEISIw7Q3ACQtG4ormwg9IPe1e2N1DVHQk0iuR7SZRTqve5rgFSuStsoyHLscPL+na3hAelT5J
2cRPqophKRaXAYrtGuvH5zBPrk8v7TlJtMEfgtLepWmBlqMY1Kz0NbBHwVoHrsQH/pvcU1F8diKQ
5iUezRhdox7xRdFEpWv1vSxQOSeHvgCVxvc0LkY+pxg2lT75sZlM/pRE1Tm35X7Kg7e8GIGM0rO0
RgfDsKvzbSUI8mHZBauaIJnXZkErrKFPO4vBY19WxialXMCPbCvbOA7bIe6H87ZI6rfGMTdFo8AE
CLYluv5dpMQWmKzYhYckxQqfEQkUhQIWNiHBHVVH1cau1X0d6ifyezQi5ImzZZkGPw3GjRcM03SI
+v5rCjZsQ1WrftDoafPINRMMG8NiFxXF/DTLnM9GTsrGXHp8KWjmvqqBPTe7Ya/nOM5V1YEsadI1
n7mHwJ2PSjznDIgsQYJ0vqOg3QdC8+BwFj8RfcYG09O0wJLgtuqjx0JjREwxzm4qyuNWfaQ0XqJ3
H1aNSJHjGdyODi63SSX+CC4L6SmLbrsYU14wCz8t42FbVfMRQuwJ4JoP5fJ2IJK31pNaAEtlJxfb
zYW484dDOUbWBmwtbZddlqWY0OpM6FbORI11iDdlpjVZCHlF2PlSpspt1sQPKXQ18hnCWieNatFg
XH1mADjDXHDE1A3wsbHBPwnRxJcZSZSYFc3Qx5fA7SluUMXgy7oJvDJIj8QsxC4Zk/BaRxmQtODV
YuOy0rh07Sz/BgLm1dQV4Nbdpfpumeryj8DU3LXq4l9y8+xKhS+GwBhDlKYod7OohK9k8VklAokS
lx4z4pvekuMwlYEbmKp+jk4L8SE4OcGUk5uZDtBVXL9OlVViFs/51FzGQqMOY8pz5EWDVHpzqFv1
aGb5V6VyvtEj3q8s1qxFreyCNvnEIbhp+7Lbtna1biv+X1kqV5GI0xwec0y1TW/TY5B+cfvkPaJS
kN4xASvD3gPxWb41Tui1VnOYW8l6h1BGnLPOS9gPjzPf55gj9EbTjE8dPvkKr+RDnIT8YW7gQw6d
osmo6QYdTUOIE2+Z3N6YwPbxSFcqkw5qokULManyvopvrNpZBa58VnX+ceoPSdQmx5TV9lbPO+oT
IefZAcxVOgWEndOrUFxVnQeeS2zKjJB1J0e/YD97aiQnpaoFba1U9W0VuycqU7FaWvU9TeeSFb6p
Yh3Mt5BAWF5p5L1QTFGiyEGQ6wzpPebSofGHm0XD3nKo+dWcAoIwcyeRpJjEqr5MD83e1qODnJJv
kWrGm1A6N5OabMt529K/pBHdoXRQHU+Okj5G2YAv1DByD6/sNkmWXD4iHPWr77ojN5YM3x0rPhla
DwA2EBEfVv0F8h6EFk0mJg/ioTly+TyGE7t3RKurWtnUUJC6bZu1s9ND+gZhJg1d6geOXt0VVpPD
vyuovFvHhqkqz9FQloJ+paJtDhgDF5E4/q4Yw1ZAPZ74dAphxopvLOJy+F1ndtz0UCK3rcZFhGYx
tZ3dEDkLfVqxEzjOi2QdG6VPfKf3g6F8gUoyrwtnqFkShuo6Q/PWm+IBBQs8sQ61BlXciG1zlTN4
KUHcbVzT3Ue28YWe29sxdsHP2kCLo7jLPeau1ktTclumxPON0DzyOJmYCwUPtpZHGp/f8tkxm/cu
/GA3IpUGHD6rDH/s7MvQxfRx2aclR74q2uSL6k5+6xonanqZbsrqnWcLpKws89LCeWrj2Dh0vfic
g6HYzgn4iWlwdsbQ39K9Q2lvBKiXo8SKuUb6VlB8bWS+02ml9QBGzRtE3ZNRZ/caQST4B4OHViR3
3HdPrsRLOZk87My23fUDV3Si8YJmg4/KyFr0J7yd7QzvoqJ7UWPaddX0La1jz4huUrI0icleYdT3
ZgOdyXWGi0LQF2W1u8nN5CvML3xVKmVDU3wpQ3ExQclnxXAxtBuLfb4y137TKOFhEOVzKsN9F8Wv
nd09VUSXiEKItdNsR8t+wDrpMfdeplp7iysKeFuFO2Me7ufJnvdJn73xAz5Fy/7PZhZcRwQkj9wV
3oy8HJ7zeQiBGSbHMUrpNaKckMTyfJbDRNmLpb5Ug8DcmN5JWXxJKwckI92R+UTQyyxPsR495xKj
xH+Vte/K2nL+/vMD/UNZlPmXf5bWlr/140Cv0cVt2IaJgLX473+p2cXsr9N1RVoFZcuxf9LWnN+W
HRyuWhh/OkUb/IM/DvRLAy9+SkxT9PRxtv9L2hruxV8O9JiYWCwBl6fhiJ4P1IU/iGtUYsIv52l1
Q6SG7Y7pkKrSdav/aNgZDwZedpEH6Y5C6gKYinsNOoDOQRPVPtLfO0W8DzZRlRXigw/wULDDi997
RezboT6x7lpQ5uzC6Or1ccl3m1RX36Q9httWk0BO63rP/AUTLr7hqLnPI/cMwmClNmTr+4Dl3zDB
G7BbaKbw2Gep+Lbe+Z20QAIq821q9YGXxfJe07tXN7a5R6TF3ZQq6qqslEclIhgYwMfCKsTDIwBr
n7xk8fQmQ8gQNLDet00iVk1Nv1YOfFhwhk3mYjvxVDiLylhcJ8ZKqMZxNqvLUPRHpw2+Vq48xvAD
UD3SO4P2UUwqAZlUjp6hprzKxlwDhlK/NBy3VhIn+Nw211gTX0NKWFey0mtEjOxptJWvOGT5RTKX
+ds5T1mI6ZvfIRDpGW/xlzYp280QpPGa5WqOkb4mjWsG+wBj+KohXDlVwU3byzcieNgVbO00OvW2
M9KS2YgUMQ3EsF1D4l/mTcooyx1+3vW4vllcuNfEcje9NLlxRFvROewRneSO4JdBXywP1HY+SeKu
axlUL3FkMm1oNIjWbnqtW1YWadq9mLM8SkAMCwrtW+k0Z8Ir4SlKw4vLydYvOvhtLTx+tdN2bYAl
qK3DRy1r9oI+YY8jg0u3b1+tgfp8LUL7IQymbZ/KcZ2X+WEqNRWWgvJJTeNxtjDmJd0z/xt18ezZ
wBA765LKFVZ23S1PnezkjvmjdUIQ4gxj5/7/sncmy3Eba7d9IjiQaBPTKlTPYi+K5ARBUiT6vsfT
35XUkS1bx+cP37EjHJ7YpRJZhcyv2Xtth+fJj8wg8t2+/cgF4Fe32TlDHdGRNuGW/xHhVL2pyp6I
mHQgfV1r76CX7QhgfLJmseMWDleVtE+fPWBXlgCYivymTyKWXG26tbolW3OLbWZu0xWuHblOl+Zc
eVw1SU5igjGbOyMsT6ltsTVVLbHX3FjpeEwiNB5RM18yYtrpVnDqFuYSmozd+Q0LRvOVHk8Bijzs
3U5ZuLdGpUvAipIp1o1eefVtO4d5thNoODpT32JJdoByBB9pOL0HNn6XqMwQkdTu0S2mB6rL1y7t
61VVljdu6O20KL0RVXbAoMu0CetvNUFKMt3BjzMdr4fdXQozs/jh8Ha7LiOYKdmX3WRtosBC5pS5
yzrB5QF0Jfe7coLiPL9MDsbmaXqW5APo3vyFDxrnYKId5li7IEZ+R4Iu2WB0YyiPwiTzPS3YJzkq
I1nQCSLfmq2F8VH3FR8D8xW8/kY+YVGROADihCTgOmVyYCAid3ej57A1y/lAHjqG3PPUb3s5UhH3
h1jDAUL8tT/nrR/F3mOeILtrmwivL+4cfKF0hbkDuDcF/Vfrl2bnvbWjxUNAyz5RxKcWpWw1n60+
OZCSiXyZ+d7JGEc+WzUZ6Pd927z1zXCVTNJvE+tej0NkhnNzsZALt7LsYmOlPIU6QkTigr2tSPU7
uw/ea6fl2znkhw5U1Lp1hz1yvwmKCGQsk4JbXwas+VT/sa0inAeSY/rzSCQPbSx6OThzViifMpMU
QUfu2bmvGsiZnttfx87wVTeqQ2BNW2fQ3U2aEBAYTYWGWqi8NXuvW8dLc2XpxM+FyV6hcap4uAyc
5b4usTobnRrbHeFWYzKm8puo4pbF2DpOszE1cSgBIPst1hlOYZOCsjvpBdEJKGAZ62mrutJfswDH
cGf0z2aMsmEkWuKAOfRapU5UYXgjFnnhSTSJy6LF6GzHo07ur1uyP02rkKBSVLWkEtmsT6Lp2sy0
bZqRheTJD9NYsKRWfut0G5Dl2pYVR7Eete5q7qrrzpVfprjHWmMTaj7ltrdhZJk9pmYw+2E1fCRt
D4lBf8j64sD87SLy2JdjemU8ZfhG3HzY4bzpe1FdRtO0rZPlC4R2nDFD+sAJvGmZEjYaZKJQ957I
u/g61SRh5xEU7h4SOT3NuhPRyUA4G032VTiGJ6sjjDmw5kNQewl2MqITrb3TtunDkGlj6gutIFB7
6ca1nOQm0+ODYcP1YuMEY6aMviF6Q0w/EJjSNuLFW5Yr0WA4plwIEfQByWwQbgVm/eGyvIV6lp5x
1nJczlPhR2X8tUyM6zI3bq0U0clQWqspat8IA/A73Tu62nzVOtNhMTi/GpctM3yGL9OsPdASAkE0
Upy9pl9lkEiZOV8NKQIBa5F3S4H/KyNi5Yb5dbyxMzfZW0qt4AQDxricXjE6/VRP/Tcr4J9NJOwb
WB8CDVBMKyjIhqqR/uRhqSXjS0yCV+IuXz3a2+Ea8d8qX3sv97ftGfP3plx3+/jC3o1+tC+30ZEk
6+Qc7f4tcD8LXJ0Fzt8XuLvsvSh+rW/Vi36vbwWlKnQwUNRkJH2unn5fWBnEwUmLf1gDGzgR/lhY
4U5QhefvToOfdscejlWDP4t/4bPBuvRPFlbC4U/6ybDCF0iV3qyvpSFh8qg/7k9fIIAzrjH10rsy
8ga4qS2WCnyYCsUxtSIyNnaUt8Ezyt3mBvwYETqgLIr1QqyOk3gXTeGlzEPS1xS57cw0bDC6cDtb
FvrKyswmFSC0HIrJrDf94N2wh/kAhxqvCbFh3mMgtzEwGMKTsFlKwzCVsEynSttrcfZqN8Bz3aS8
CJPxJlX4U6drfBYae56Hvc4+B8rvuAahq6EKnXc4cy8NRnyUksyYFF611+f9TMkCxlG8wn9YUYza
hwYmBgRZhHjjGw3/mUijzFYUYOfJI2KhU0hXpO/vzSz9VMFeE6hotPuAYhYkwhjjirUxiH0NI3ZQ
sNhRYWNTU2s2lULJQjLipwXxxnWwfGUldpYKPjsqDG2jgLQGO6/IAvds9uG2UdBa0YTAIuDYSni2
ODVAXSjErYB1m4MugdbGWLu8mhQMV8sDe5srQC5A8MOokLleDH9V4DH09dEaVqVC68LGMH2WO/ka
Ejomwvkmt9NDS9LtiuCZb3M+SO5fdUOWARYDfHlmOL8QigX6UoiPztCOAtIv1K+LRKF/AwUBHj5x
wAoMXCpE8KxgwRPU4AV6cK4V4yOf56mzn5fcOVvk/ZHYCXU24SIL7kaFIW7I1mp9rHh1dKEZRc+c
Jk5DysgsK6nRRJd65HWGtnvIWokeyab4jqXEmEnelnc2yOk5ummJNI3m/sDvpdI3lk6SBeF33l0A
gNdbZ7MAElGX7LsGe7Z2VWNbGecyTZWYS5LSXWChF26W9V9lSZlAqoj++O9x+HkcCvx4f38c7vsc
UPe37tcTUb3u9xPR/E2t6FUInOPhkuPE+f1EtAiOQ6bL8tpUmW609f9Z4WPUV3E8ZMpBCQOepYQ2
/+n4AfrD7ILP8Mfi/x+oadSF+YeBT3n4DVNC6hKwMgx8YX9Z4Hc9sGU0deN1rx9DKI7zbdl+vyz/
lpDxHQTwx5vwU2AvY7WIVtM2HAyTfxkqIKk1Kbrb6tocscu3VMQtBtnINArzOtKpMZWde0pvljJ2
5GUURe4jJ4SR3kjdnteRnk8GiL9q3U7loY6mizjINo6J7iYWbLwQlM5zdh3Ymp+V9BetB0W6vOt0
vMJzhPa3dm+nuN0HM/CaiB4C3bbwbas+ahWpkTJ9zWYYLHDe+6o6wLt+xGHEvDqOrsKu3UgjO7hR
W6/E1Hw0vbujEhr9jBNrF9dWv9aw6q46e9zXA0PU3kVxLPe12a758R5DRz/oyH9WsFWPZHS+Zy26
IATEWJPy9wCiCw62ClGmPkGnb5stAWcXQeeOviyUJWGk+qpc/VVBgEwLmIqwintkvMfAML40E0+3
EXcoB+d2Hc3jW+tYx9lqCqrW6lxE0+h7tWsCrISLG5QN8kKI765FvE44m+c8xCzXteZNNhLytgz9
o5aYgBfdacP9DRXe6D4Sl3RTsLNMXeryuiitkzsCIatIxl5laZ3sHZ0AAJZj4XpK+mITVwa+lkGm
iBSWrwLNn8nHuSp77dYeNZoWI7sfc4+IY5k+afDMUIRXBzDAyWXWjWKNEevYalCFdVFbKyHDi7B7
M5Ny64H/jPPRWDNiYQWRFV+DhQyFoAYEVobi2Mi+8bvB3S2u/VbF2G/GuTn1rvUm2zyCfBR/yJz5
cGjJxa877x6X3YeFTkqv4/e4Zgsu2mQfGeCTEfGuyzC/Hoz2VSSJvm4sdA+QHQ5ZnLLyZm4VS2XR
MzFsW203bixN99Z20V9jLfkyhD3A+awjNy1qlDjjLpy62i/dsF8XAQYiCy74wA24qNPZk8mdQaIb
phzVZQ1fU52RdDw7H0niPduCvjEasZibU0rWMmSmc4E+no45rtacK1/Cub4rLBslZmpC83NdKv5o
5Ms6PQ9JxrdnrMnaHvl9uO7ylDoBuAHu7yEp3i2iLrZDo39Jw4xBPCnQE0MHzEUdC1rto9PkE3kF
uErSCMGbQHYzBdidYPU7pbHpzDk9VJ9G9dFq6mBf8dvwIF7U93Y4LivqCr7lXpZ+SXE+HOwFLI5j
jvd1jdx5qd5zLJZxWmUEqVffRFeju2ALi0mHdXE6EhrZxMlXy+qAxQcZK7GHgkZuN0dzcpFDy4o1
7bbpE09VGtCc/CAngXEgwV1zp9JvvKpctxmoJ3aW69CsgACYZ4vAS2oxEmGJBKh4NlVe+CXS+sdI
2u+xPtXo/dh1WIvY5llF3sd8opx90aYeTXJMGHv/FPYW2u3FvG0KsUkqcVsK8zAK7RZ0v+9o4QMg
tadW2kiX9JM3QkVz5fVMsOvSdtsFBQdZOt/YRsCWcxM/bbt0A5F+ndaQc9uGGCLW2E01XLok+DU1
0ysTgyUyoBEZ1ETKudQYOWh0ug0KfS/dBEb73pKQZNTTV619t3u+iYPjbk2LKIx1QGQgo4hgpIhN
+lnTNvowuw9uOEy7um6MdRKizLdl1VWXqWk+5qVFSvlCzNAAcHudJZxbq7S0KphuZKHsurls1jKj
LpNm/pDW7bbpxsdxzB7aWnvCSmne6L29XHPh1dsmq19qQxyixvw2BfKqXshJyrxQhSFgxGWp7TMI
lmstyeJtvuTevZXL+Rzm0V0chq/IabT1mMJQa9iEUGx28AkKhBSMVp8Kg09xjO7juEx8z9SO/dA+
9qJc2KODKgwUc6Li70fIAnfP2ks5A3otc/y2r5YrrZPavZOgSZhnb1TMR/ZEjdV+Dby2963Ozfc8
zdKvs863nGHYD6Ibd6xey7WZl/MO4nZEtUeqadghSWHHbIPz88SeWvYaaO8tUG+1fdklgypQtYBs
MERSiyPuKbUfGzHdhXbjHDyrfywVO8sKl+Dyp1rkv/TKFA8/3eyfly4LA/YGDr2Oa6sm7edWGY5e
BWmn7q9LObJvvUrkvcPf2lajbuvr/36vP1cR6r3o9CDbC3BELupC1XX9hAFo25Lk47EdryUQPEbC
8zbS/g/UwP/1Fuq///QWhNZm2dhn4zULijVofIwlz1Z19//xc3g0mmDuqbFU1fXzm7QRjOWkGMdr
s2EMdjFpRGcd/vdb/Pqx8Kv66S3UhOOnn6NDohAKaxqvLXmX19sF/j9VSOG+JPP/8U7KM//nquvP
76T+Jj+9UxYNNpsAfph6XlaiQItlHPucAf9myI9L/p9U6b8t8/48mvn+HYA2ZVumDsQcyeqf346k
gGlpOjHSAT2KDnOmcx9Gpzn/t9f4DgyzaQz+vte477OX5v3XTkO96kenQb4FhTy/ffaBwDjMn9yE
KPoRBOuSzb4yEyqSww+xsPMbu0NchuDj6QY4K37vND51+5iGUfS7GAAV8/0fdBqsEP/0hcQ0gJNR
gPGy+TdcZEW///kLCcZXr4u87C+XDDklM9rnZkY4wu6InKIB5GyTfcXGipGmDM5xg0fQFmMLf324
ztvygCpJW7U2TDpvqH2KRFLpkzM7cq5G4Ni6nn4D8pSS5ju4BB2O3H6jcS4Xqv5Ad8J13lZXxaQD
imRZ11qPXo3hWEaetQ0+yfDwtDI6fPC1ESYgKO1uiGo0rpIHWxbP1Vx+GSIcuWXXVnjZnIem7hj1
FF87T/saFPMpgv5nmvF5SKOLroyf21IiT0PD15j2G9ee3OT8YLCFYmcHVvHIbfUE3nsmQ8IkjxBT
w7rOxr30xi+zUTWbsBu3lrV0vpGYI7JkPMWpJr/VPNe+zJyLtqOULpDsS7xjdipvkbp9q1vvOrYR
NRo1LiY9hH0WjOOlrIZHdLlv+Nafgtq4YnL/ZlkOW9W0oeYi9GrfIvEJKw8JMw1aEj5nBrTTKpOV
D/IhY1FZvo3CO6canil0USO2fxPXBEalLbd4s+ZauOja9FhbwUURZv4SI3ADdbTVm/EYet4+BIKK
ReojtpJ3N2/uTbjBgbk85iFyON3lL8mH5OmNvRpHVJaGntQrY6qdG2doz0h2PzJSqiEp6btSD/R1
37DIzXXjqxXat1aHrVTG6b0VGh89aH3WTOrldt9vLbN/zNnStAiv0f45274D6QojP9k5TvZUWkm6
Nar+0ohs1J4pOUE1xM6VbmkrZ0m3ukueHAi8HQHXDP3TimVBxadGIBmgLtvxP0XdNSAGB0vrLmir
UxyQ3raQ6A2BhOxn9qy3bsZIurC3fW3VTM8DyZ8UA4PuJqbqS5swsOEbZ7ujtpYLX+K55TPMjSrc
jM1yB/SLdy0kS+thG+j93SLNI3Jmc+UaWcEilfg3SAtIn/v0jQ3co6TH5QSuXnWB2KQoyWsYiWsd
9XjPhhbjmxbt9UJLfM2Fy6Xr5Y7g7J3Q434N4trbd9E4Y8mT73lSX8ipHJB3JdWm8TqiQefZN5Cl
bsJ8+lLWNr0owkS+jSjaze617b0KJS1aQGupluucReDJQj3uT9gHwkP2qZVP0/ErGvBm2DSfWnp+
Dejqjc4NqVViQsidT+U9WUyo8AHIoshnbIk6X9DEXdMGodmfayinZj2FT4SIbQgOcMeVFVnBZUXt
l3ROv6btWeksACLXC++iGjdO6NnTDQTuYxDWsbmZvnt+ZMaeRTptfeg/XUH1p0MIgjtuoXaGp4B/
qGRCwdA2MY3HdNT1+JwVFV4jvJ7CR8XzpocYOtepM4MIQEin+qQgtYibJ+nODe/1zs3aJyMYwoA1
9IJattZzJ3iGLx1ZZx2nJ7m/3tRX689b4l8sksXt8ffX5R0OVhJr+18vTPW6HxemwZTNcihabekQ
jK0QXr+P5kziUzyUgdjpTRxnf1yYlsJrYoxXcDE0bFxlv1+YjOaYogn2GDj3Oe8Y6P2DCxPQxl8u
TMySMP/VostEEPTLskIEPXzmximvp0Z3t8XAst2CgAH5e+Q73ZBIMc9oazEHcPHY+knPcmJqHRAe
h0zq5WOcB+2Zo2tataZZ3yW9Y+3tqW8vxzSovlUdSGWXOJeLKENY9pk/uK48Da13LrTpukVwe1Un
ifWk6U63FYFhyzX5jBztRVBcplwW36QW3c5TxppTAEU30NvvFkkSTCdn+ykb3OaOvW9/7tqIqOG+
KOuV22vI0e25fDB7HYqe2Rrvpd1nj7aeFXtcCmjRq6B9GUxP32A5jjdu4407NxmZ5kRDdTMmxSbD
RLwN47Ci4xcW1mSNxfNbSeqfdRIIn+dpi7ECI8XS9do7StYkusQQi+ahDtqigVNUqThfkIp3UeJp
K8L/GPAtnYkE81KSRQcoP7Siydpin5Uu0b0D7Caf2iOLT45WAByI+2x+TVDBoF3H4u/VwfTkjJn5
Qm9iowOf0KiEkWMf596Z70g0XV5QdtnY7o1YP4WKREk8r7cLqiF85ZsUoxxdlpegjZZ3J54eG63e
FmF81BTvJxcOexcbNzEjy5AbQ/TEWoIWP4WCjUWqaJ12B5hkNeUlo4V4DONtS8OMbnLIAU+l9Vci
XLIDPeoXMwXnXmngiiN9HHADNd3eSVrnTkYVUgSt877AY3AuJ9QQfm7AS10ZnV3eB62ev7cEAr9q
XFNHM6NsqwhNTaTQ/KZjojBoWjttaNXqjlFRXH24WtkekCUVOCdle7AZbT2Hi3D9xWNOOgUpOo7E
Ss6tRiIYWZ0lieuKKZ4u5dPST9qJL6/irRb4mcImeETwP34pkgaWSznFd1o8VdfRwDisAIpB0Lll
Deg6W0uQguhFqAMmu2WFNo8EqeFw2BuD8e45RLFkOMmn0USC26An0UtHvCNNRU6KF4fc2BZuzwh8
4d+z+PuahCPw78/iQ169N/FL9utZLHjdj7OY3D4UjIwp/rMcZoTw4ywWYE1AILv0JqiPPg/cH80L
uxXMwDp7i8/z1mHI8UMYafzGdwpjosXh/Z2d/E/OYlM1J3900zYiS1bHBmEtDFTUxuQvIw43Aicx
8dAQXVJVQkl44PlWLsDgD31ZCpspMUnyDCZNnFLLvnQocQom/QkFjWOlt4GBflnCQNo3YnAprhzj
DRxAuy694AU68V0apPn1nHIu1ItjbMG7hIzqdVQNjvMRVZJhYU5+E7zxeIstxdy4IB02nTO6K5T/
9sWChvigFVnHpgL/zryeHOqlhOfmstIFVjJk+XjK0hNcocIna27eNjaD+K6G0pFB/l0DGsYlh6Pz
0hrmI5XJhSy74JTHWYqmzEPtzF4cIZLhkOyb2vN28tzINxXbo2Y8TTiGC0hlYphHfh8gWkt7IuLu
qnKm4uhG/b1wIp05Ldp1NPIVtdisXTaJ8zYWlI516YodCVYfS5I8A1yBaWUNIj+MgRtcVFYyf+E6
Ah3TROewNVmGRsl7Fy7GExN7vHHUidvByWrfbTNgXCw+SR7xCu8E3EtsnFHXjlY16Rd2XHS7GAjx
KiQW8KJx3RuZhckdS5zDGM33WkVQe2kV6L8k6jgHIw/g5GItkewyWWcBhaZLWSxG1usoSy9EhGDQ
nZvIfhqqEBOibqanLphFR1yBNjPhX5rGaa4iPruBQOj4PAvWDSstFNSgwN50oC5cOd1VJb0aJyZL
X/sAk8O414w+iw/kNoPyGArvKgYCVq/KRWIWIJTeDK48fAPo9lPvYxBeesFZ7YswX+4IEwPQ8e/p
9f30+p+Dl0Mx/xePttri/n5y2b85BIN6jFHkXzzaQv4G94byjV7B/Q5S+HFyuRx3KGRcB1QAWlCV
D/Xj5FK4BFal0mIhqyBO/1Dy8t/GLqqE5PhkNmSbf5kDmlFWiXBwu8s8daJtWWYxorKcNdjN/D2u
Mv4eXmlFg06UZTqk48YWnSFghBlzwehhjs3sVMu4nq9gM9pYSSRSYRp1MTk1ib52Fpk7IOm4wVeW
lcUt3ruA2sjXAq8snpfG6a1rt++9pvBdcoyt02TbYzsBm6mT9sVdumZZ0DCS1IJdZmoGr2WHGKG9
bSvvTOMWHcKpIcd8HK0vdVnBGWQYUvclse5WmrAVrcfhRD8wbzFWF5dulva3wknHV72wbUIykih8
Haxm2mbUMBexk5Zs4crgMtHQ4oJDjDAAC3i6cjTnG+EawQEL13hGNjpeimTo/AYTMekyLSxuw2he
iBlu11mHd2gd4UA7RHbS3RtjjdcoKuw3uWTeboiykeUliHnIdXAXLPNWLnq2mZTLOuv1ycIDiJDF
RhwID1NH/gspdJsC1d9alcDy0rYgMtkcm6+kinb7Gj0oGVlKtep5kfFsqvY6WhYUhanRG68p661T
X7fhYUZ18mjarekz48YJWLFzWWTeX/WMB/iVFofac8SdaGM9WydkCZyZLnlMH8roclZji3AmBsdW
4wyPXG9E8J68RClr7/O6YJky5806Qj/zhsUouwCZ1z70zPW2LepGYKyxATtGZNieI3TRsxewEVZz
HHaZaDVru702Y7Pycf2UJ4yDwwkl5BH/3QKgR5Pb2p6nj9GKsr2s8vA4lTEsLMBN2jkOHB3ofws7
v5xxIXcdR3g9y2JXhTiTLVikq8luGD4vhhccs0ZzHtjIfoXFalwYmqyu+OsHWw3SzrktDcXAafSr
eYngpMsxOYQxnrMSwiebwmq+jdQIcmjHejPH/bQJhyXYtgBjw39P1u8jbYMdwd/XhZcv1cuvNaF6
zY+TFbMMdZ+F3wU+Hoclh+6PmpD/5FAvStY0+n98ND9OVswydPOYV+gQhem4vOrHySp/EzZSQo5c
G0kKwpp/0p+bQI7/XBPaLmwnKMhIyjwDiY+qGX/asDR1m1v2YCxXVUW5IowOeZlHAVfZ8xeR1Lsg
km8WznI/qPpXvQ+eYwexBE/+qbWDzMdl+kWNshG5nO0FtYrdQfIOsOHrIe7MONvOgbzWsxBapugN
BtP6Lp2882jaF2Ve7mTo7YEOXKHQs8iIYxLchEhNKAnvHJvHsTMJBnOKE9UzR+ZghWfXgfqgVSgJ
ZG1vZto6fHX6Ljfjg27TJLExfHAr87o1sisbPgGy6ALpozlkD0y2dsHExHG2vZssCe9oYbHW6dKf
7YS5aFbq/txZ72MZJudl6auXouN9sMPvFq2hievDteaIfa6lYIYn0RARSqoB6XJ6twY/cez1MN0Y
FUVzb7ien0b1Os5sGuvsNWReq5g/q2oAFlyjz1sztd1BwFIhm9xppKk1RbGZws6D6Bz5jZWJgzGX
J1MHZCBwMTOgp8xqqHKD1L0Y07Jce6NzV4vY2c50wGutGPgpIBhcMVs/FGOvU2lhK7BbG2eE6106
qbk2i4I4qC54bkN5n2iSoHvN3FtzAF1DR9xiTZRyDkNDOxlX4JgnZUDdl1GA5YicwXsAZO3KnexD
XmCMt8LqVohsP1FXrCOwCzis23pdxm1wcMaBzFxdqcATBuxF22+WKJ6BVmfWyg7Tt0YUBCrUAP86
bTFuvVpIoM3pJrLx/Wq6iHytE0DBRp3CHZRCTnhCUBycXrP3odRH9PIS/QZChckFrDtYFtATw012
XQlce0+eRxncyVGii8SPE2pltZHkwx0XZdYRuHYa3Dut7qgZtrG3NKjcAGc3bdTbmwFNjhyKEkd3
c+YW+ygndEcW/iB9Gh4rZRhyFgAqykIUk/myHnAVDcpe5OIz6vEb5cp41OBAWpQVqSzDXYc3qVC0
40B7QCiksxBZ9omBjYl43SsXX1OPv8mOuQ3bT8tT2u4SPFCZMkPpXoeJMrga9PSLp+xSOb6pUBmo
BmWlSkQdbxplr4qj4sXDbxWFkJuUAYuV1rnAkdUpa9aIRysO4i+lNtfrUAujVYKPy4yrByiZPvGR
86pRVi+CZjaa0J4GZQIbO3k2lS1MKIMYopjnruLKE+43d2lPM06yBUdZqKxlbWlfTcpsVjT5LlP2
s8p1TubUAJ9DmAtj4RbyL5RzPGuGe59qG2uWpwozm6dcbUzFmYRgdIsHWpQuzW6wEGlro2yeKq27
TZQ7rsAmF8GyXDOq94Hv+TlGOk1z9vjNyxUZ8DWze9x2Dba7DPsdKYRg3NKrOEfvhP+6UT69QTn2
0nx5ZpbSbTuqAXSltTL2Zcri1+H168fl4OH9M2xod4EAV6NsgVWc3HWZ/eopw2A/UU4VtfsQapgJ
hbIVglMnOZ7BTV5zFq48xfZuC5hw37UR/07FBSPkv79xT+/Nf5Hvq9f8uHFZITvCYXnsuFjrP6mz
v9+4OnBZhP3cnExAPq/VHzcuDcunglTAiqVzUSLSHzeuRS8Dpkp3iWaCwYjo/x9MYX4diHuIWQRy
VW5biFOuanV+unBdUYWcbEt36baEOqbQZnHBRUbmu7Xl7cANvrRBOG7rysY6OS+JpR3zVvbwTdzY
SJ5iAw7KVRSUfX1Ar13x5PcJ0bGVZvfudYUub7wuxuqyMtP4HnABkGZ2Ne42aZeWMUGUPJsEJN7M
xUxurB7QIYWId9jwFaqpMqwl2naf9WFtTw3k0EDLgcmJz9UPKXcJ+q0JGjUMBLN32rjdGsUUi2P+
GTYbLowTkJQGCdo6lUfrmSHqfpVROw2d4zcqu1ZL53oz1oHYYcMRm1Fl3Oqp0zyQoN2LferNzrIx
2x633Gx4y8SkHAoDc6pAQ3tuVRrQmGpxzv3cRqVfGaVzF2PpAnXPlnPjqDxeUUVpd5eaGVh8x6qy
qwlDprGrGcNv5rAtH5fR8riWQIYnDU6i0j1AiDL1zb/jhu/jBqrEv39EL17S91+LYsFrfjyinw5y
XakxJF4W/WeVh2H+xiMLZZE7E5qy2kz9eETRf6Ai110sU5TFDFr/eETlbw7TBp4nl4BENl7eP3lE
8av/UhSzQ2dpJqnMWZT9NReHESFfhrrAYzxk4UkL8zq4m6a0qPcEt6e7URUasyo5amoPQOnZwWpQ
39qqMEkDBMO5KlbGz7olYY21nfo5WVmuCreHcCJtStwxYXeehsVR8xL77C5BzYOlb52cdAMUeVtv
ke92wi5gmMHJBQQb4wuJwlMxjaekyLaaxLXOidDfdkPLhG1ynrPJo3JIIm8zQhTJ9HK/oBodjfC2
FkXv6w55762BxLXIm323iEuv9d6hy93EprxaanlAhHcHoGzHyuNRC2V1KsjQrCOC3CIrPghvfFR5
syzMoFLbX8JYctNJxOBWala04uETrfDBlNUm0YMnQEgvfWQKYBh1QKzxMJLdFvN3tkD1msiFmwYY
iVt6p9pEN5w2Bj6a7LIG/gFtJTzXufXSRN1VRwRExy8a+lG5XspxXM1Bdczd1IU33e1tT/o66jBP
GNhqloI8D0XMrkzhm+58XALtUTbRzTxaxOJ1yaEPCzZKFGmgIWFjSgWpEgG0v7HcM/54SjkYafLL
tW02yzacM/LUquitzdGHzJWw/ULMO+JSjhmj5F0ujcuisgx/7LLIj5vmoQoia2M2H6zM9L2TOt6G
GSlzZ1QWXFcf2tQC5/C8q1qt8pYYUevg1vcSD+iF5mX71G5uMnLQvAG5hEXBlnSVu7bDIiULNpyf
52I5ytD65jIa2SSsiIg2WZ6spsIlaD1P+nJTowtldvo0VoCbmi76IOoPSNqYEj3QEjUM8DwlYRXM
kWi5PEb4QViYyfhmDFuF28To3+YIbQxjuC1l09vMbVZC91GBF7HTvg4o6C4YfjEWzpVDp8Mtkfmj
8u3w80Osm5WZJ7BjjD0DDjV31UkXFVLOaeDjh0QDXQe8OFW/8QUz0SoOyHcqOkpADXwREc7EDcMW
JbB50K8WHoabWSbuDuXQeFMxIVpNo3E0zcTEO+yBfeY1KHU09mvQd91JL4F1D5ii7Jos3FTMGI7M
eDogCLdXdl3GRymnhavWHjeAljocFrDo9GHYjtCY2NZdAXBAz2qIs9nXLFk97wbPXei3WXJZO5iZ
DfGVGeJ81wgtfSpEAuqnJsnAZGAtgoYuo+ML2ThmCtMmXFFCQy/FacocjGdWYpjZ5YYH+KEgrU6M
/UD+s0XnV5IUpM3n1IA65iFlp02MVn2GxhsswGvTazsBi3A1mM2hcHoTD4o8atK0jyLMpF9WiVDI
oYa6Gt8BJMhx04cDGhZFT4WUDo8qb6qtVmWgDLtFf6uF8ZjkebD1Wv7fsRnlrlgI5EtTlD5lTtPR
aonONU10uzDU5xs4OZv7AHhztMvG8TJWtv+RGMsEDgB6mwXaj70VEAIEpAB2992m/IQHQBFQI+T1
FAEWMGXPJ4RV9/+xdybLcVvpun2VijOHA9joB3dwE4nsk8lGFEVNEGzR9z2e/q5NlY4ll0u+nnvi
cyJcEmUxCez9/9+3FgypDQjNeZNDIYjM2CBsRGwKoN8RbDYE60rdxrALwBhte1gGSwrUIMuQpkT4
7wotPbcSfDD3nOxBgLGIrnYWbIRQQhJMzndrJCj8wJL9Emdnyj/lH1iFaLhmg92yI0HHkUv4Qohj
h/nnAzzczWhUxz5w3iaJa8jgNnQS4MCifWvDo/vnhPDthMCE/hcnhLL91/8twrfsrf2TgwK/9PtB
QZ7lOSHwPhV/ZMeylyCi4jBYo5ZG64sR2feDgvEbjTAy4+QzeYXL08D/nuXFxzEfHK0JM5TNxN+y
S3Dg+HmfyqVAlecXaaN17D+GQRMc785YuMlVn/uLidwg2hr1ww9/MdfftrP/Kvr8umRr1/6f/yHP
/idfhVkfWViZpQGH+/OFoQ44X5iLmVx1ZRJn69JRi4gk2UyQBeO9n+jA3Ese0qhrnQIoWoTmYgmO
A+/RW7AkN1mM9ceM4tOoqhwCmCSRQOvprGix6qlhtB9Fvu+HCE67u6t67aQu402LzLpeyuOEfIAb
ykFNuEznA73PRK3djT1nVMB64FKxcF/JoIw0bHL+ZUd+g5rme8ztAbKrRTEXa6KLCIJfDx8GkCEx
OeswKku+DcbJXndKS4nZFawl+oVwTdoV7KGF8TnQXZtsj6l/FTn0W+DvPFHUNLL8qK+rzC9nHB0l
rlYYbmBad6ELbRGQOwgtHpHOlTW3Mz+zACMpvDrkYYmS6M7nRdQW1TeRbRtlscytVo6URVCsIZOu
vd7MiWEy3zSVi1ML5czvD6UhBkYjGzSlUmwdHhtr5hANEEuubY3txDvQIumhZ0HgXPP1Wv2rOYd2
e2R8N5RsIvTb0m7M6TrSyDcS2XWPbmPZB1pW4aOcHj/AvecWmM2sPbuiN/YOayFEnULibZxo4Hii
jq17X5YOsyLuQD60WUnenyIvgy/j1WE47wdhDldu39t+x9/5iQxR+9RyYpxm8Frz5MAZqeO9Qt3J
594MDBaL2S2VuUOizpnvlpp7y9KEqUsCw9WZXYaSVc4yKzXWQ6lxP40foKsMJ751w9qq48VvOvjG
LRddjq5TfLCQm/k2775t12UagZbAuGqjQeB2rdutpQ+70YBiEk2ivQl5W/mOkp/jIjtDcyw2eRPf
GKW5d4hEQ1bKdvzEpOtQV69xH9x1mj3cU/lx3ukZcshN19Y4We9l3K9NqChpUGufVKXfhMS8FFGm
vqvkcFhIUU68glurem3b7q2Im7c5mT8DFV83+nCAsLPhAUJIYdkak3qenWGtu92OMcBpoUZHZvVZ
NXvOosomGzXOdWCK+vmFGvQqLF+IsWpEizMMGTbyo9QcHk0rfs4Wy/CtNm0PHEPQj4/LSeSYaENx
trC2jH36WPHtazudl5Nj+8FgbZBa7Xp1eZyCllAq1jmC5isdkCx+qULdJyblbW3mrWbb1/w33pIK
Jo4aLyGHzgAg5ECcMzKgj0SBuOmyoj2PdXcMxcSHGbprVk/qKg1sPmX5fHT5IVKxsQi3ITTqnJxK
PxlT+QC/w0tN+64X4U1RVye2mkCS3FPeDzeRy5FXgDYKAGWE4YTmINVWSTRWXt8wig4b9SpV0q9l
qn2t0vxAuvFYZs4h6bWbZdTWGfTMMsvOppGQEa/n42LbRLi4EDiwYOvU3vUuFoeG4xXMktW8jAen
XOZ9vRTFAZrxaz4H9kqJCkL2IRYwc9LTbe1WpJVpri0zWbNfP3mJUP7nk5dB0UeFmS0M//fnJ280
a7jsrAw0Xp0Kn9TYTKdsTtc5nOFTl+vj2h5Au5ZRTn5oedOqur2p61T95CxOtiqn6ZaA90mdgnXq
2lh9um0dWe/IRMJ1VVGgRLiHH3FWN+XCZzqjNVAGZuuNiQNVuGb3bDvdDv7iM0zq3ouT9rMgw+NT
5CLPq9KqzEDG1F477bUq5ZgdFFstabYCU1smym2b269zlt/R5z30sEmXNjvUPT36qgSGJVzm0TO4
vTneiSkyvRa/nBXA7YvYS4Rcttet2t4ac695VWQd1Mjl55p5Dt1ejY5fM92j8jCw23CPEbO4GEgw
KIxZpHbi9DxUy1XUJvt0NLcmxUM4TPU+KFJ31TtErUEgbVhS+mZYnbIQDKxdiEuM5yPr8x3vNSq+
FVjlcm43ZdJcQP/c0triLF1QsrAKJQZSw1C2aa5jHYpPvnDzZcB8jxmE0MwUMwG3j/HAh2niA+pw
k0vTWmJwmQ3lbNy1RzhN61xHL+cau5HnkN6Wr6Vrn9RaHViiKK+BZi0UBOoVJ8pplZJL3SuVfJZ1
p9i2vgg126jqDCmZO8CcC81L2jn1jSi84L3R1pA4JOU8cXaQdPvPKGtgrMV1c85gvf9FTUoGt34K
dkGipIMJ6w6wsgP97ucPagIXg8RBDpGWLZOeHBrRr379w8CR6YevwG+JkEtjIMJUVSoy5Lz1x6ml
bhEPc9wwvMqsBEnNJe7jXVzdNmPCJyHzYqveuIn/66/JbOcvvqr87/5hVtpXaVcZuqKc1bm4I9nG
1IX/h7fil9Dg7IGBJ/E6x3ywAn0/9ND3hwnkRVaMEucbl17RLF9KxT7FnaF6VKhhlo3asxMZ9jpX
k3usMOM6TOejnRmPVpBOBy2DE8inqSj9frEL3yFjutYqCp52Mc/7frL157JAj800RicWH79kfFb9
WrWiNU/ged2x7fWG3r3rDaloUtJ7rmBin4dQAubuldvNjpfSp7ZpNlY7trQ7kp2uRgoTE04o2ViA
6lt61avBIq+b0YQxHk+3IirImwHPqvWQdZ5Lpbcd3ut2FKu2iveNgQB8ND5NC21jNT2YHYWJRkI6
4kAnHdHFJKp7c58uCcwvzANzINZ6ptIdDlKesurDoNK0iZP87ETTtmhGfwgWPsGqn3YhmD6SDmUC
ua1aEmfdZMG5glYO8mOnlYCUnHC6YzLMAY69Td+x49T1TvUWu9sq4NRWWl8+WWF9btT8pmZgTbih
W7XaYTABmg6mvrO5Ja8rTbsv5mg3BfC0h6a/qizekRgA9g2eHqdWew+Z2Ko2jW1YGScbndFffNz+
6jMuD+I/fNpGgyOGgBdzTk7FdXilbJAUfSYMvsdodXJ49XgvYlxx2z4XX8e/okL9PHL8/gPGVh9d
jWD9IP9wP3xxJtZOkcJPOZOCXhUn4VWbHkLMUXmwNyip7y+Kd3oYfFZkwxP/yK7mk7o6xJvgioB0
/hd/mp9ffN/+MLrK8ZKwKtco8w87ilkdGdZoMnCuXsMEWsXqQzPsfv3X/fMz6z+/BoPeH/+Dlybv
lSjKIl6ub2Gzc+ebX//+f/rfYDO8tR1Dp9f7h+8mnZ2FaVLNy1u5rl1+HkzOnN+eUP/s4LgX/+r6
/tS2b3+2hfsh90JbU9Y0uZqTLvkDREv7jXond3bbJYb84xYOZAwbAWmLUQ0MTR8yye9bOPc3LmAW
vyNz/m8dz7+xhSOByMfrx1emyetMGPxTEGswCNT8/PHjET0pmJXGyzzqre1zx0pgItggAsM5jiBQ
S4RlGur+nAxQ87Regw7F8jDu9tUSc+EZCKucWqr3i59MolvQSFeyHAJozjJfJjLNRJKrJlj8LkSJ
xqGk2U2WFrrvrppr3d3ctrBSgNwZwTqYl8VdZ1U5kkUgd8iiq7ZCseDLTkfQ6UupAaC3ezInfi7C
ZvENqYRcSWY3GbRU2/Zqijy4GXgv3mca8MwNStw9y0LmhYVldJy0h3k36XOfvI+6M21CDpkq5/iE
8jaKcnUX4QM4KIGTPcdwtdZuCBBiNVfz4CsZuUVOF4zXI5JBaq7A3iA6+TyYbL8X3oTbTp2ViNlq
aGzNOXq3RsVY5YXzzqLCWHV5mPt2xb+rlAQa1tADjQaSeIxCkPCOnImGcS5WxL7DFYG34lm17ZQh
a5diZyE7vGpURcU0QZpcm2N15zQGa4QAGrRG7Y0cRhkeqkbJrg05lkBl6W6dqnhL7cXc6pmOnjEa
jG1bdrGvMpNg62InvkFh5xpnXevVLlKTahAr2L0jd9KSBYyjv0UwrHd4rPhYDBl9otDAuVOG9kq1
lGfyR+HOWrLeYzjubKOmebfHIIDBzYXGztnbrMeGbm7WCXtblnl7cE01WQslSs78mXNuj1Z5SMfB
i/sEiYFtMrG1x/nGdQNalm6Z+20fmSvOingOGsNZjT1c1mJp+GM6+pesSAVTyyTk1GtwEB652ZU2
4Q2CGVhCITVs0Q7VN6BVCHmHY3djxywUllmrwQLNYE8ID2abRXUnvx0QlbbGVPmTZvfQ7DEKB1OR
7ojIgIAIkvzbo/+fx6bxy8fmXZk9/ZksS/6q7wNP6nw09TTNsi1unj/bdIWEcDm6bVj0RUgk/D7w
dKBuUzr5PaT9+8ATtrbO6Ir7qyFI+pHR/juPTefnMxLsQeKCUpCn0s8nSvURJ/zhmGI4edIYvZgv
Dk+1axs/zi0SWvtLmRniMI8pVyGyAhunG9TzSGtqRewXGhFimM+2O6J6UctsuywaFTS3DHxb6Zjj
x3Xkc8C7ymRaZ9C14GSa7BN0rFyrYaC2sO7JUDGxqKad4riHSSw1Zd2IOQ0xhxcU18UW5EUg94Cs
fap2+ppHUXgo64iLNNfMtYC5smodB+xGM392Re1FsuYW5Pahp4JD004Zj0VauvyEjxPCOzcgO6Ve
Ur0vEX+kEEktlngwbHaUXmBduXpHaixZOgEQOHmr0BkZN12Rr+tlCd+RHDxGUxj4sJQRh1aHhBwe
cKki3Qu8VF6HTPk61EL67DOOIr3ZGFVxY+KM9IkSKtvOCpfDEvb6IYoA32ZE14mZt3vuMe6ai4Kx
TbPC8Achgp2lgQWMidMd6hzrUFAON0tDgqzKAPOykF5Wimn6SeogLg7dq0SnvzfM/O0onL9u4xEA
ah5r2qVtBTlIG5JVHbWHXiRf68oG4pd1BVslK/E1Ao5RWDMSCkBO+8pI/jGTSciASCQxldUsM5IT
Ycn8IzUp85ODTFJORCqVlGxlrbJWy2XekrqMxxjkDuDcTW6ztUunaSuIaIpk7NyTIXObDQFOwoHX
JYFONWxtLyPiWRH15G3LxI7wZyBToIyYK7qNJEPb1qy4p+XHltCoKdOjrTXeDRFP8Ja3iJfKjCmp
vAvA6B0Qh+1ACDUhjFoRSo000qmLzKlagXU9B8kGgdslX1gPWkRaXYPp9iJDroyDK0KvDOopkRKD
tQIWVQvB2Fw0uJFIyrpEZnm/0QSa76GLcy8KKgN6O/la5qUEwerURJQoJJKeCkPjMXuCUx+UE8IH
iqO+ncfpSaPk3q/6OSsPlYvw0Naa6RSSP9h/HN3+eRgbnPj/+woKvXn39C+v6Zf/3EDJX/njA9nR
iKPQkyar/ZPeHA+CZlPfZDQoM2P8qu8bKPs3fiS447hkxtg/yYDJ93OsBVxWNTn88lQ2wMH+rQ2U
MH++5vA7fZBgTSyibMLkH+Xncyw8kdIKebCBBYnLDfnMZs0PjlhnUD3iRnfQ2DU49kSTehlcCD7D
3b42tfehVDGgENs6jFnH6YafElDK/S4sQ9/k7wOLDXKesugRYYc4BOzkeQyAemoD1LyhQKebdfAT
7Byst1LN7nVU5/dmgzq6HnV4EelymtP5PgwJbajxQ5Don/I8Li62lGSXiGR4rCLOVicNJlkWPQQG
0emUTbuT0n2YevEGcpFxvlDGT0Xt7sj/HJNqmjfqVPhUdIm0jARNQb5nSo3IgB2uUW9NtU28wSR8
S207wpMCTbw8tyZOv7DTt6nqRl4Qti9zrIErCcMBENyMHSIOtmFc3xnoT2hMEzUx2F41TbwfMvur
pkW2B33uagjrtXCWEF0B849+yneQqUEnpH20zpp07ZrLbYBOZWcqGn81fTwcsxixd27iD6jiA7xA
KfjO/KVTXpMkc5FI1JTWy3g7LmPMUQuCrDLAnNMQf0lC26bPnGs9LECodZoHnZquY6ffJpUN4/JV
OOU7UFQfv+rEbyX9N1r7FAFR99oAvplhd3izdbHSZTSAFxdouCGH3mIw6Z3bnVO6t3Aiy+s61871
lEy+WmuVH/N0WtM9ENtFiE/GAnEwHdy1o5j3uFbdQz0ku9RmpGvVwZXaVoNHqnrDmvLIEfsabsS6
y1TiAcWmnNyel3/84BqtsS0m4XqBJBm6GdSo2D7P9fxFlPnGKABhcVzY5/pwO7QKqYhlfOMrT1SN
sjcCMtoFb4m+qrX5moWOzjoxOru9EpwIQzxjEGT63WhiH4eF9TVSctuvbdYJ/lxwllWXjZliz2rw
J12Fg2IfqrBsbyZOwLL2GHZkSCpqi6blvDqVMzKY0ldOYMOwm3adHmxmk1G/HjSPrgHZ3ZiLnZFW
fAluP1VP4ncEXdmb/BU7YbBV8mi516uSGpmYR8bU9p1TW8dOm9+yqAaUnpq3WcBazkIuxyYNZsu4
1mgd+amFZrFoo9dkqdx9V9qvkzTK6bBV1iZ9MnB87U0HwpIfxHNAeXdtN2N1YLWIdBelQZ0aflgu
ACVDp19p08yvmGgEFGM4bxIteM8qVJDNDB0u79QLaUsi1D3ZpWChGscRyV9Uq96F/bJW8ArhzTqM
iWjX+LoeE4xxvGq77hQBijzrKEHeVDVIP5WqUe2ywQGYj7WN/PU/b6dvAQlO1v/97XR+AmP6ny8m
mUr+3xfTLy08H11JC1KWJohA//5iwsUrYGcxQYFh9S15+f3FZP8mCboGmQlm/IZEb/2NmwKByD8O
WCiAMgEyGLJIZJZklvw433NIX+DfU5eLnkefa0gLXsbwHvVUzUR9yTf8UGw1pHPmrDC2dz/DJCSE
1QO+zF3rU+IYZ73s9pgu/HpwgnZt27hU/Zh9431WuhQ7hXoTKkWz78Y4BLiRJcqzIK7DvEPTofbb
HwR/8wPmL7H+rQT8533S36gS+l/21t0oNQAOOlPXpPU5SUNAxOO6xhkw4w4AqHivw/VYqVIroDbj
3sIzEMXOAQzKGj/mSwPTBz3PuAoT9bZKxLXrKJ/F0KIsoLi0CrAYDBVv3j4o3mcpOIgwHQRSeQAs
R4dQO114bD3VWTLxEy4FCZgSaqlM6FSWui4mhVBFqVCVkbbBw2FTQ1RwMIxTqXiE1o5ab190LA09
toaltz2S5TahOyBRmhiOzVA9RNLwYNgwejP9Ji1bvzOBXsa0DBusEF0zbgapidCC0c+r8l2oGsP3
+NbtK/Qxen6qwnyv5fPnFOMEVLJ3tTHntarMNudXHeNITCJLUdJupWfprm4ViK6R5Sm4btaBYGZv
Mti+COZITB2wnQzdCDW05Aokwe1lQgwhZ3bkO2m6eMVUcfxW7ZdoDg+FTs6SMoe6QljsFY7YM03c
9X1zCTLK7DrbFmq1TV0x37L6fNuZkG1XOA33XM087gLnboIKoJdCeFExbAw1eE4BWKbZhBS3n9ZJ
MT2FVolPF3sexiLW05K4G5GYi3TlSW1gSTcDZyON1pRGUhawgXMmiDT4jooaV/SRdcpGHWhsIQ8b
hB1El5N8EyF5C9tN1kvT76JhWiC/ZoYPSoYGSa5t2V52m4zP/1VPNMdWjD13u89ElnZqLz6PA2/6
MGrVddcKjem+SE4MFjFy0nelGgWaCf+TsiomVI7wlIPtrGnqVTXp4gbGsb2L02Hr8lAmNnzI0zYA
oS+eGPSbZCzn+GLrML9cOsOzk4MRa3n5zHHmmWPxPLflRgzxlzIEz4+Cww8jvp9JNmcXGESreMq3
PzzUrv8z3PTz4ZVzMLNXiDFM5y0iVI6cOv/4jKj0CRq/4mqXLL9PjVfTXP/lavRPvgSncEtnyMuT
kHX+z19irsKpTWLLuKTtc59ez9Wnwj3984769o7i2vKrd9TrW/P0Jy8pftX3lxRbANZIXE2gv/Nd
kFP4H7o40EhI8JHbosFt8a9+vz0xZXKRW7Bw/vek6/tLCtKjDPg7/AIdfcrfC/rDyfrjS8qhlwjR
nWkWvFRH/iF+/ADSMZxb0WnhJXBzQm0IUrsWeEaGM1Xvsgcu+quKYRAgwPlgS71qkYcs8PudinfV
kALW0TXZj4J4ZPp6nAChrBY3gVs+sC3A3yq3tqtOKl2dPPusSslrELuub8TVi9ZX3Lmc/qqjVzpo
w6OFIVbDFGsKtthxGH213GytECH6zEJf3RVkOMJ8DDw7MIc1f+xy02OhLWOFcbImHnF6F+taqmpb
HWntqFjGhhHa+zC2b5R+kERKxa1TJmBSsN6WaXSDAvhpwYZLGRCMtxTklia5rpS2qSnluT2SSgDY
EcMzu3x2MOzC7LpihIMll3bnupca3rbSrhW8vEkWngEQHRMp7E0aE5tGLK7NJLlWC50LSswZYJSi
34yMwdYy5BumHV8wzgIi0Pp4lUYOI+mIF0ymJp8G7MGIXxG+qvBgWj2j85q7dy2uYZ6iN20xNpsk
w9+t4COO8BJH3XTkTal69hjBf8RdHGpwD8OSyLElxcZlb2IgjVuHEY263CO7R5fFCx5gt52Q8keP
TGsr2QChemVdMh/CIdJgWqlEv6VYWadK6le4lq0a57LhVCSPg+BmlkLmCB77Zg7ZqbtZDlNZipsL
qXAuLWVbSl53bBNlqb/OlJe2bajL7VBERC20UYrihEZxQaMLYzOa6ADZdA2k3EYhTTrmpXMjnNXy
MgCDIfczqZyecE9nNmeSsKnOzBgxlIbAoIFHbJKYZq7K9SIOtM4fpM5aiPqW+BfqODHw6pPSa6e3
Ta5viLAbhlIex/6XvlH1VQX9kMEh4uwEzSlnF/lOSdBqL7NzpkvATXCy3ppqAO7talfFSPNR7/go
k+ya1uFA57sKSadqinVXYPEepM47JknFANbOdl07gUIPxztF6r8Dsl+AW4vVmAdyMVNQEZC68Brm
KGPdCZt7ZuzwpDy6iXgm88T7Etm4mNqzkiu8FBUH1jlG8iWqn2fXmPnm27W9LlrXumEc3BkHbSFZ
S0zH5Pw3NTNHghEve/QwIaPbCOaiRChpSs8UsWe906/tMX9kDNdixEUXFbRdT+hg/jyRumM2SO58
iiVtDVlvCfAU0WyJlKQft4DTfIKiVB8amj1aFFpHtBDg2pwooUNefFrK4NJY1amfuMv1ZfEed/Wd
0KN9IZwjY26KwslxWaKtID4XKdFZTaiqlDNLHrhv7Kga4xbM17DW+H03WNiOjk72k0jYHjC/8Eng
Po5uuMP8dmRh9m4xiEc9KR9Nhl8G+Xyg9PskZNTjgw5aT90IpX+wDvHSbZwpnILeS+yueyjCeig3
U1QZCzaDprzTgct9JtA2kk8UaGUttR2aHVI082uYluaha6ssvM7CLHT2Xa0YXwMmlcE5MWlL5W7a
rXs3eNDIJ/rmJPhoBIyUAj4vO6NEejsmnK9HPne+WRH941P42Bv9bgEWhWjM2kXWEnBRJ6PPUR93
fBncOAjEpgITIxDoxaOhdZ1ZIWEbjSdcXsU8ntJMUH9I3sPGvmksulDKaG5mGpM7VBmZZzNCIelJ
qnD4XJtYePkp3joBLUS3B1+lLteuER/7dDa9qlKf8BICQZcMtzG/1UYt87ouaHd1psR81oLLnKrC
mzuUIAoQ6VXB9jTdF9LE3OrFk10Oka8Lzpk2uuY4TZ4F+uYymZ4ndM5FPVerBcFzYGB6JpWbUgNJ
P6nTiT7/Ok93DqPmYtmSudoqgwOnEG/0gEDaQiQNfJtYHTMeG8W0RmxjpTkQQDLpn0ZjepdLI3Uk
3dSNtFQX0lc9Uxin9h3T0aTHCf52qw+q5uUje0Bh1bdxYrKNbuxTUNXXpXRi19KOzeXmUx2JKyPC
m22G2OKbhksKSu0UvmOJYluhnu+VqvWQOMNLMmLhHqfsOEovN8msY4BOw6wddpTxZZYGb4HKu5JO
7z6pNrGr7qvW+arqtP9Rg4eepTBF6SnMFcBWPJOsXTFnzJPsO9uF4qChELcGt9mM0iquO90xkZ5x
mmEW/8Np06AgNzpc5H0cUTJCT47dheczN7N0QF2pxHeYrZ7q3t4LtqQpFMIBz3mq861WEUI1PQp0
Gxd6roVvCfRfk+tqqfBvA6zp3YA/GYt6Lv4xs/3Pv1kqHL9+cZ58K17Ll/jPNqSCX/j9SEl3lP60
zhGQO8cfBvKGPG2CAgEdznFfxiD/faT8EA4xsnRd7jk0uH8cyMO3Iuek/ltR9DdmHswDfzpOyvuM
qQubI6XD6AWJwB9SkjbtSId8hnLRlMzru5jDg7G8BSPh/tTMEJpiNiXIvWk+XKdIsJpbt0GAKuxB
QYZql4hRww9Hqkt/at23WvPAW8ieX0zFYREVBflKyCJWgsmMob6zbEPJPGiZ62zZDtBlliWuqYsn
f6gUd8NM9EuBDPklrCl91WKqNmVEEWzsqaQNshwG5XvydVkY61PRfK0+SmSyTrbA6D6MhX1IEiw+
I2kSvHLkDWmh9aJ/xmekrgZZUOPmTHZD3orprs2yxJbbpg+TfLhyZMEtb5LQB1Orb5uZxuUsi3BN
SgQQi8BKn/F/OERdVkIW5xYGraKb2uukLXR+iLvscZBFO017iI0WQrOSXsV1GK0ZPd2wfS1WVHXP
swq9xRnjy8ipuo3HjeXwjjM6KDSOLPnZsu6HkCg+FB8VQFkG5L2o+u1HQ7AJaDs6sjY4VJQk+LYo
F9xALDFoF2LX1L0OwXttUDxMh3K6WWQZsYDQcTPRTyxlUdGVlcXgo72YLku8UZQ11VlYK9hrEtlz
bGTjcfkoP06TgWLVkZXIJIoWUjXs/O5Mvux2+LCj8cEu9kUzsEhtKSsGluKcYwPW2Iq1NAgUfnFx
1uo+uNH66DGLMMREhfUUNgSbR9CBPmO+x1TrQj/oqncVcTJ8lfDE0BkfUjJfMo5RqJby92gx1yRK
cY7SEPVy27A9o3HYdRcprYXB2jcDvl3wF5o3JDOYWfp9Is+3RsQ/3Ib3+GT2zsqYJWUAgPXIH6AT
fcDudhiFcR7MSjnMuk1FlRjOtfmhzGo4fwAohaTtiRZOV5Vk3ampXS4TfNAuZFGsTVOb9dEyynKt
lOxRG3KuxJX6LRy4r3KM0rE2QqAxtYdxYiuQDSHYFCNwrihfb5TcfRVKi+wwvyn7/j5Q9HNb2USi
hVJdzUo874XEBTAq3ykm46ic0dEnNQkC33HeOmU6xhnZccM+zRGBAAzX23qafYszAv/NF2cuTmae
f10G5Whq8SmPeMPEvRmcC4dDY25VbG0iWN3zFLJKz/asHXZpzTfJidg8jEgRlcQOVpw8n8J+5CfQ
ii+M6TEnFcQUlW7IAfDUnmZle7czfadpnvKG/A/FCpqR7xaY3Z6NdAPUASaupw5MbULB/JFRTlQl
exs2nUuIYdRwIEYdEWJewvcOaQZh9PeYkxzUiG5pced1rUPgLO9Vrd2aS7+30cXoee5bHRpHNZqO
ppJ6xN+eIkvfWs3gtyF9lMR0rtu0uHVK8eqm/Aznmf7WufOtATB4ndcVa50FQJnhVXyPyb7Td6Yw
QMjfGxaVXX2Qv5BA+jTKz6OWJvumj66XcrrkGLcofrNdK3d2XkJU4stnpnqTF9MVqyJPUAcpgn6t
sGWMFmW7sHwhR+PlFQ6vdtoopqxRiPjFcnovU6qdQgU5jWx/rspLgXDaL6DEgwUktN6H16KjETuE
u4lNCsjhExfODWYDDgRiNaeTV/MjQrbRCxptzdjcC7rsrcneyqC/neiYJY66m7kIx2PxxeTK0S6w
6gy+BuNHIxAXLrl3bWdtDFwHZjjdGpP7KUvw87oZOu2SzEFuoBwIXD6BWCGY1m8cN38HCX/FE27D
jdxrI2dtOXS1wzbaMw/dTUvzRdW6w2I6d5ZVfXGi9jYc5ps+fy3m6q1WseOQf1vZeryBT7pp8QWn
IZJrlEOhHt3ooEfLQb8VAZMGpVuJRl2p0FcrVd0p7rBzWmWjRtldYpanztTu4dWvbIRCK8us/ECB
+aP2G34Ur1rX2Wh6e0BIzBes/bDiL2wq2DjVQQFAUbyMffmF34oRBOGFuTWIZiQQc+xo9AAyPrVF
y1BXOQI93S+KTZvPjlZDk2Ld4SURVUHtMXZgOGvZW9END3lffO3gCMyVvWd6RKSPPn/ZNbvCMfcq
yGg22y71l+HL2KgPZZPclorGiXraxEHP353rh0W3szuTT6e9JXp+A/DkWFFZGZT+LovtnTMFF1wO
+8LID0OgndntOquiR+uEsxkmKodThBGjc5M04MS06bGypO+DGTdC5/ugsW7apr0UrXlLK15dAUa8
65loDhVXwobtWWFmp8wMwfTV6mpkVtLIB9VSfpnT7igac1tV8ImY9ieoMtpRztEKjszFfVPNB02U
R0UY0UUJmGMTUc3uYERP3iK6Q8PQYRlRhUONUJTklZvnfdLlnGrp3axcu3s0aPUJI2UZDB0h1l4t
SP1FV39Jm2iPF+nC85ZoZJOykGmP5iIz+5mdeouqPUZmW21cPf2UNx28yindprp2TZwoYVvP7L1E
nU3YYRekljcKJffjpfQGKqloELCkzkIKWVHSFtdcoLdJMB2mYn6tFCqMbfLUAeCE5UiCPSCtlAy2
3/eh38BC97jmcyTvvTzjJQHYYjcgDhkGcwPxcRsO9gbXmc9cnOdPy40rnJbNlBfHuQuPTWd+Yo5F
brRDudrWqw7amhIB/C4EPjeVOwSb1kYryQ5050UZH9umeukd2ciCGxVk03kwuKzlKq+/H460/18T
b5OIv5AyGltzyXz+PHDsxqZp+rhQLmrOUCVdlekt6vpvS9P/qjGSdZ/fs83fjqH0CBj76yAAdIkj
/HGqyTxQtRjJKv+PvfPobhvZuvYvQi8UMgbfhGAUSZHKYYIlWzJQyDn9+u+BOslqX3v1O+7hvW4J
AglUnTpn72efBudLRWOifRpyPPHLFKXtz2/nRwXvxyt9Mh7lfj6KyedKGpmXBqHoNlmV0y637qP2
WebWLywa/2zm8+nxNmGExn9AL+77G0Pv0Dp+kgfnTnlu2n0ZfM2Sr//+jqiWKZa5DJEFny7hW/Aj
3LEIzwQzRv2mHcdVEnKoDDaS+Z3W/E7x+p9f1Q/uyBBzaikTEAYU1qcTw9yb00a1kWeZYcDRke6C
ZYp/cU+frBbzseS7i3yyUdW+0piWz0WiqkIncYArv/z5p/ar25j//YMstGumpqsgeJzpRVoY7mJQ
+/Q1f34RxtafH+vvbuPTV1PEY1x0aS3Pg0Ias+m58gwBiwXuyUTPUp+0tv7FFX90W/TEgZKAAzLx
Mnx/W7F0kCxFQp7t8grxoofayPa//fyufnQNHA+QQHWeA3Dv31/DN3XFcroqOqP8WKUWUBAgfcnd
zy/yo49OxwxjGrrQbc39dJG8D21bStIrq+Ipsw4hJ8WIxcD1CdTYGzQpe//q51ecn6lPaxBL3N9X
/PRlYc3DyitGev+MW7v6AaLTLxaDGSD14RKzC8QUtoEVGw4EKrzPrsc6N7AjDCI9RwdUADs2zyPU
npV5FV6bHjGua2IZ1z+/q+8v+b6yfndXn9Y7pjrpgMI+OncW3r0AEgwYMS3f/vwqP/7sDD4Sdk7T
etf8fXibrAl5eINB8eyXZEjR5nWaX3x286f/+dthJsfTBvZ1BsB+/9AVtSaZfCnRGQXRYnQ0qs1n
aQToGKJf3MuPPrGPV/q0wDGlzytElNFZmG+hc2X6N+X0i+Xtx5dAji5cWCCYhL6/GSnizjGmID5n
2cnENDeQcKa11i+2uh+9Qjxsf13l01cfV13YjAFXkfHXRMGjrKwqA2FZ68XNWYk3ifmL7+gft4Uz
CaG9oSLgQZljfCoVoD/bhNPnybnpNmX13Furcrr+lw/ap0vM49EPD1rWBXygYZmc+ylbCAXgXvRH
YMj/3OD+8Sy/X2Ke40Jnc+mzfX+JaBhShRi25FwnX5VpZ/XyF9/LPx5lLgBmHhWBSeMNy+L3F2Dp
tHuRTemZOi9tGcZGO4lMMnPf3j+r/3TSM5L6Z13Z6uvb6z+n/PNP/dWSVX9DDYpA5W8h9F9TfvGb
ZmBOJzARNN/HeHgdtA+VMEYWd4ZP8/J+1EjbCENsCHw6ievwAP+VFO29LPx7tZs10oZtUTFiOKRm
ND4X3bqi0Qsp4/gkVKOpLjAXFKonu9RQmNzFNsonq0pHry2jEnJ+vGwB4uBP3Q67nepHm2we784t
qMa5p6sDwll2t/htKlDASR4++vPEx2ogtI0UrmQ0zuMg5NQm3rptoZnY4xka5fF4GpSko17RXnwe
ZA9v2b5g0JRZA54xRk8DIyiydad16wz3jOVfLYZUhZ7zC/Sp2AaDiVjLybdG7V6RVYqGu9JWaZTS
Q5rnXkXfxHc+ozA4/ZOHJQ+YxyBODuOyPsURYs0TtGCepQ2Vs+0srIFp3G99S3sy5rlbn48toUPM
4vK87FYUE9G20FPQMJXteGbuM1orw8c2JhopM4t4E5D3spgKVax1sBzMjHWcgb3VhFvUUByBS6A6
oNFgmsGHUZItZpZiFRuRualhRu8hLAbXdmMPD1YHBDW3kTbVgzRPEvmHFwgpLseRxutgaOcwoxmY
1QRbWyW+cnK163WYp4KeQcqltcgh97hsttl7oGOI1W3sBA1TEsfri0hU2RVhifreKSpOfqk7wlqu
RVbKC8OG6L1zYzrLa62frTF2LL6IUsd01JKfSXjYMewwYvik1zQIykJ4b3PW8Vo10ysD7lnvDWMO
CLGK31CGPJR1fMhVJAOp3W8SJoIeHoFj5SokRBFBH6ZyaRbJ9RBmF4VWPWlKfIh6+EKllt7qhI+t
mpm4zuBNC+zLLB2YcYaNHaOjGKW20vVOh+FnhtF0xBCWLVSSLuIiYv5ldD5d7XDXpj7EI5+uw2Bp
BHZOwddpYNn11TznsE2HNAcDB0UgQ8tcmV/pPFcLE26Ah7GmXurhsGpFs7RT1PtDM0BEz0z6ZF3k
jSOte0iUl43Vp0tHNRmqBqlkWBYwFOe/BBK4CGm12BygsNvMShrTJdxzMjpSz2W3VAf10jbB1cYV
CoSxAJGjqs2esDAY4Cata5nUCg5T7dkaBFKZMb/p7YEmxkjCjJ/VNiJnylbmzgsmQC6qFPst9YPX
JHcSj7fLa6IRNgmFTWsiyxw7muEqusi2HtNVLmZIbE7SmcOjrwqDFG+1aoBrmg2lnEJDmHl4ZOfx
RVY3+e1/+8e7SkyjpPvJ/gE1hXrujcNfM+5e/9+fo0B+6M/t490q7nCsn5fmOfT3g0hM/Ab+Dfab
hit8Htz9PdET+MsJxvrDYGNTPf2hEXs3kc8Z3rrKVIm0q38lZJ6Bsx9KZTYPY944yOwiZwSl2jue
7UONVOYlM+QwCs9lS+d7W74bsk37JHD68rgH727t+HfrNrnsqovqafZ048loqrXz7vXu333fvVNv
cTfr/gt8pEhd9bjglD03XfsXguEKKOZJUYKzEWegylG+hFgrsKUN1LSTOSXSS2rXn/3Fma2jGBvR
49MwBKs4YnNp8bhEFVbKrf2eBJhEprLQB7hj2zKo3Ajoa80eUPZJdQrecwRbnVC5FSB9ogJjx0Ix
NCcNmig/N/89+r8/+jyPP3v0fzjL5mf+evLR3DMwpnjVGCC8P95/Fk68FBbBSSqtWaAH7/yCP+WR
DKxhF6i8ExS8SPk5ifwpj5wTmSiBXdSRVFX/0lwGcfnzs0/4HEdrhBRoy+mCzP/+4dmvJ45vrdla
l4GeTQcCd9SCyYUTlsZSGciSmRaT36JxUcBrJ0unIf2QYWyKkKeV0fvwSU2OTivVlFFDwDUConlH
xWCU0LJ1Eg+daYxwp95MKD8ahjIPfYusazkRXYmqMQYYWOxqoxLFwu1Ma7hqyUNY2KGSB2vbJAS4
xeaGzBwcFDq2JrMdEoe6hsRIIE7IsFL6aUq99lv1Nsq0Y5VZcANT8HKjeo0YGpmWGLBm+gXCwXSf
lf5B9MP9CFQHWCFB10WRbtpil6QBk4eAXUNakfQwP6HEG8jqleQ1UxpMgKmG6SG13bNQKRYSHK1K
W8eIR+lt07kggDp1Lio639q8pcq2e2yYgC4At5JNp5rMn8Yzgdbjurc6mFStC+2mKxtPt6dhGTdM
GkAgES4EdgGArLYCSjcuQashQHW6V8UY9iiRULowy/ZSX7wOQ5F7rVmvwTVupcksiXS4Q+RohSeB
FLcmir+o7A+Es7ZeJ9knp1y/UQx1XdqttvZj30sV5LA+qVE7+izBYjDyy0jLr2EkeJxM9xLvRIil
edGhwBM2AUNt8sUYsSBXYbdsdNQBSbxMsAt5hMpdGH66qgoHZY6PaYIZf7SokjxeO6ONJlNvjqky
4XFIKoBpAARFEDy0GXgnPNmogUZdLhUrOLOcYWtzG0+UzUXXdhFKreohyBlMT7G5H0dx0wTDikin
DvAfMPksug6y7kAc8zK25WxhmiTKszFZFEjnt1Xsh546uGdqGRsPuv6WJ6LeigJ/rpnll6Ygai/U
U3RT8R2tmnuypHHyliclLBhoubGGNI+11UkitKjpfW/joYZB0ar6k1q0+dKm2O365GaIzR2qunFh
zVPP0KF9OdYRmkpVC/fA4IBVuxMQjr5/yNgPl5HWPAx+fy+M+taoKTuBfmyy0D1FtekpEUN3s0E8
xqwNHWzvtXZMbGEsoIOizdKb9saPcLLkkWiZrAW7oDaCbdmU1601PTGzfSbBSsJpg0ruRrIEJG0I
z1Dbu04y0RQxhMvcCi8UJb9QbfeF0BLc7kGpEcQhbuiUrmVl3Ba1ulF07Giq7Gm66DcGEuulE2Is
1QflkiDbo7QLxSOJYD3IBAWHnW2gZ7+Qlj5s4Wxv264y4Co5LpkepGtz1sjXTZM9RRlZI+NM3UyG
ydm76ohkVzD2Uadqjj5bpz26OV/DVQED1lpYSk8s2ngSwmBCC0w8r8rLwraJ9vbDC6w2ycoSw1ss
3evIgGNiEXnJiIt48noav/UdCYldB1PQDzTDoyfnQCaeoYk2IDE/aW9gg/HocGKFJq2gIy7kyHQ4
Nz0jD7dxMLxYYZORYznn91jusTXLo1CMN5ysGI0GEChEkfBAoceESfStQp+J53M7khCbvQs3UXDa
s5SzQNOpzuJOZ1BQeLcWQ2PN2AUQVBZkpM2unugoUIeS97UZUYvCpWUcSb5lEu1C1KR+WH5rZnkp
4ujDiN7UUorbYhag6iNnJ3UWpbqzPLWahapgTVb2LF2N0LBms5jVnmWtCZ4Rcxa69rPkVXb9vTuL
YNscCEs3C2Nhdj8Ns1R2QDMbz+JZkCSEEQ0aemaUtVr/1s9CW3j3cpWNxj600qdh5BMVLrPWvtFA
Xub376xnvcYxZdAbDDD1jzH6vElnoFvnX13NeJ4q9VsneBiKzLotKr4wKF360kwaQh6CrFyXRKl3
SOYhPgsq+F6BPttdolu45laROYWnCbY24pAZWNYp2mJCRm6zuS9DR92RvoeYwneGndGbN1rhP4Y2
lMMqkW9pz7TXN3oczzTHtnXc3ekZRELmQ2SjQ9tjKP5flfR7lURt/tMqqXmr3sYfnBH4uT8rJU39
DdEf/V361XOhRBH1Z6UEMgWUM/1Fy7L+YEb9WSlZv7kCTefMPYFf+HeZZJLoQio5jSVbw5Simf+m
v0T6xOcyCcmozgnBoV01g1Y+tYbTgiDGEUTjZapP3ZpUFWOZq/aTzbE4t9sHVK538XTlj90GnelK
K52rtgnu/IS0M9RRulcwmi+z8WgdokD5qvfxXaogmhB6FW3GKvuC7RZIfU8yaxpt1YA4S7YWhIQV
iQYdR39Me89kfxVfRJNJmH5Jv2KZ87FSRCimQfL7QXWR9YwxIz18SNF2YON+mtB/JIVTeb0sX8Yo
vnJD/aWyxOPQjZpnNcMRiWvujWFMykoZ7dsWUZ2Z5t3DqDrPEhHvPiM5YSV6og3UIrqL2+RZHe1p
Bytj50NPQoc3badSe+7q9NLNyE+w7Bu32sSQp0o3p+sQ9XdtKJ8cqWx7NX+oKyW4sLVi6daGl2Yd
wZXAUZPxchjlpdFOLLrVbKAJX/OiOVE9oq63+ktX9qAKpLYz8jXKyEU4Ih7SbmbkIBqpJn4qtZDF
r4g2dT3NzbJumRgoWxqwG2BINNQbhr/IzbqmK+Zmnt/rKBWUg5Xm/TZv8L/7sl31eYTGyjqgJZ/W
BsYYr0uSbZknrxXagmWj1TQ/KnVTWVPomV17Jiltq0ZsT6rfZZswQyUlERImGddLEPeYAakVdvVF
nUYJa5WxnDMtc1QRg+W7sz3jgH7jlBTuZVoYSysCEYUZ4NAHM9XGXtomGKnGQHOVqPgbspAFPkBH
5Vl9B7g+BoSa2IQzk3CQQseHDjBKF4FeirS9sV/Q5u1wqTTrtkbihKNzVpZe9bZVe7ZgnlrqJD9E
pWeU0XUmqJlDvjml0O9MVOJlSqQmkxjnUCpilzj5sYiG5y4d7sO6/lKUhE6KfvSXk2WxXZJQBHeH
wiSOmh1pZfmyA93dSo7PEz1bT4bplV8bOpiBYQsbLV9XHDiAVVn9Is53uiYjfAlI33BX5kVxMqCl
xJa6MUWC+It6CkAnkq1Ev4mm7BmuOW77/phPnEyQiF5g4TiohLJoKdTmRC12Tud8icgYdcMAG5KW
4A6qb/ta3hStcodqYadm+UULdZLY6l1MHoSiZs9ZndxZccmHOvUHQ6/2oIGObYfzFenTVZJ2G+Li
D0ZrIdXvt4Wb78Q8HxoNjt/hRWCgfKtGfV/AuO1r9ayGRrJuJyIEg+axt6lZamOirCJDuSVKepzs
i8rVrk1Z7GPZARwYW+4wbXdRB2pXrY5BYaNp69C7krCBgvamzusHtsQ9ed3HNjSWYTBeZ2oC9pmX
Pk7CNbOXhyC2N2aQb1NLOjtMKRurA2kg7eaoZ670OG/S0wx2nDKvUqXzF4EKKqmtdoR+PKoDzE1H
TZKlq7XXfWgeWoBzCzjOZKBN6SOtiK3dslePzZKAKA5nTnbUE+t5ctxNr9DZdCnTZPeU4YutTfXb
VActtjDOHrX/KDkEc7SblCy91uglecSZJtrayU3WvkHXL3A+QRy3kr0btBCC4t3QtM1CEe4+DMOT
0SV7Pxj7BRqnY+/jkpJu9qWTDXiSKrlUVHdT5u5lBX3Zc/phnZaqgHQh7omlPAwg2PVYwQUd3Uzz
V6g75peCNI+8DvBt9HsRKA+D2p0gd12qMYYKy8b9NPYvmsIxSBYBGseSCrzhu6iEuc7aQG5KJ30u
dP04uhx/G1lt4zzaxFnRL2tL3CNcvCjrbhGGTApq5aqTlvA049YOWsCy05cosW+AtQSHzCyLnRr4
10WaHZXZz+6TqmdM5rMorA1BvwtD781t1AAd76tB28YcaTUteIupEOkV5ep+tMeDEJTMQhTmWpX6
BnwSOR9JWHjaQG1vBeq2TtvHupc3JUf9sQ1u/areErXHya937rNebrjnW/JwHpoy7HaDcY5jFGVq
52mRBXcuHTamkZ/6JriVKsQKx+q2CgzcZnJ2VW0Rby62VeDy0YiTQhD9IkS32LXaTUzzdqXSjF86
1dyAF4S86NaxTtjvV7SDNQAnfSnvzVQ2LP5wYLQMiXHqJN06LC2ofWiopdPxdtKjQCy/sGYMDc3q
LQXjxg4y9wy33kHnC7BmUiS46hliE3TdsOja9EuHGcmwsmjNDoOU2iE5qNDmdnLA0KPZ+rBYlsMM
yck7t7uIkoGkd2X8llU1knhscvEIeVifMTv0sZ2VmSQPcK80TuzAeGy4rmsR1raySCML+G0aHJhG
wespRfMYCZt4RXOqFGY+vXlV98T7JM5En71PDFyjDKkEg50J1pRQDqjwL2BanzUnXhtDtLK16Z5s
quugrEhN1nAQ6JmnJcSrZKJ89HszmmV4q0rUYGPjYdMaPjTBpvnSRYALY+fJ8PVj1yMJL+QSyPu6
8U1USPUtetBx6djhCyvrvapXWzwMJ9Uc3uD47HFc0X4PUQxKqv5a0R+LydzbMj3CgNGpkFOsoEgR
C3SULVs0vUlkrJVPyKu5TOL8uqljiTlp2hWBdTAHuRUVfJ4Y/IsLXzdX46W0gRpYkX7l9ulNAxOi
y0dw3Vl2m8GVoTUR7zl07lRVObqcXCmFNtpQ7hrfJV6OpG273GPnfLAMfZ9k4qLS2Wl1hzyA4isH
Y2howdXgUykQXQmjLVxVnIbNsnlLQ/egEEpKeOxqIO+hdZOv+JEJECBwOlfldaURMadJzzXob+kp
3rRBvaljBY1hpige4RYYCYMVQO613wVLd+YXtG5Nyg2xsa32iFLBSyIxrE0SpnQmY5QW5YIMhJLV
PX5M9JbBl0nyDZM9N6bxC3wJ7Hh0DxdyAwnmrHYkZcSNuB17xm5R8ZDTB+TkDGxc6eSrX+UdoLm+
ZYykX/ameukHOrFQxJoyFV8Zvr2JXLlzpequg4CUkHgCXmdeNoXgjkFBHSyNhyXIe5POEh2ukMyr
lT9azikX+UVm0E9I6BWHjXqVGMohacAbKIG+rmv8DL4ZikVFPvk2HK0ns8c04LLSIAEdDsPgoNzu
84eB+MFCsZ40jRzrQpaPKmpcoJrtOq67BL0md+34YuvOS0+JvrzL3XAbVEnkMXQ8Fgyw4kCZTopW
7QsxI5nQfi/LKuWkOEDzHMtsafC/wE8tRVfeBHIoNiA3d/QMMGI2LckO865tGo+D4EWLGF8tqwEZ
djkalyKWlzGxwEZkhDs7nOoDMVoz+0B/0LA3XvSVf+XWyRN2DWM7v+7EWjCRytjNkYjoT07Y3BAI
dkUfUR5cnRBZUeyCQr3VcC5OuamiF29pZORLNY0PZaBuWhvYVGCm3xjtJqzlGodZ5zZu8gvJCT+m
HdglBBDhU38cRXntDkRSZYV9GYmAMK9ondjGSCpcdF8m7pMx6NfIJ/O9qUMUauFbrLXGeJpSd+eS
k0BSuqQH0/GLlVKscyGbZZEZ3RYqFd4erEL4oI1U1W8GEWkcI6qKbi3BJIZGK063lJUmpD9F3ocT
3/n3UfzHkBuOYh9mLDMnzZ3pajY4NGBpSHj49w99Zk2q6qBpmTxFBcqN7FhPAwium59f5JNQ5I+L
kKYCbgK99+dmduyTZaPUtTyp407JjirAWsW4bfrbn1+Gk+g/78VmlGUwOpqZAt/fi6/CGEORTeGu
fevzO0X/hYL4B7+fzj8oC4gWfFyfP6uaeMw8t9LklPU8aFvHf/nXfz/EbI1PiA9qNsZ9//cH9tyg
Ncv05HDuMM/mH7SM/ykI+iQZ/v1r+PD5fPquiSgBbsZSesJ2qqReLNaVvTTot78l0fLnt/KDS9kc
u2d9kImQzv30VSQO/cJ+yuOTGm2RczfqoqCRanhsw1jHf36t+c/+W2Py/gh/97XMj/iHR1gVMu1s
K0lOhe7RfyPGg1eLNXXs1j+/0I9u6uP3/+mmMjtyUUH/fiG64mRBDeGafWTeiotfPGs/eC9xMSIj
n2MloHTMmrgPN6WbmZaz8WanWl/7yUs3rEz/689v50eP84dLfH7cpppQ6gAhwylzXiL/yVD+D4/z
jJ9iVIzeEYnS97cQlYnZGIqWnSJWQBq4yfh/WLyYkKlAeUHs6tYsjPr4IWVKRn1vifw02S+9fdnO
E5/mF2vXj750HmKG3cYMU5kplB+vAf4B8p4zpScMMlj15omLedVVdKKXTFN+/o384FowJTW0yHN+
Mv2n768V+lAm3cjMTuF8pl4RoxGOK7ukp77Rrt8v9Z+mbpaY/e+W5+1b+JLyHH8WRcw/9VfDE0i+
oWkmsnDQosLhW/qr4UlELjNhhrJM+mht8kr9bXMm2xoYKYB8JAsm0oe/RsPw89FL0Np23znQOKD/
jdVZfL/ezbIIuq1ivhbRd8A3Pz/1CTsHJxTn1LlhXC8jXb/jNd5GWaZctEmwEg3sCBOKCrSqdjf0
o4A2qlkr0bkXjYlZiJOxgEI/3gJcLzdtlCaA2ySxSVa6itria6ANQtC/aQd/QxepVZa60t7XaImu
xxRnhlVZPjDC0dpFpMhZpUYf1e6qI6P2FueuFq4HW3wB0vBNRfq1LfrskuJ97mzlMGvk0F6PYriy
6Z/OoSSJF8Q97JEkaxeVQ8olrmaqshaL0+gWWJr5q5whXkdBq2wF/s1VlDJIYrb9KjIUGsu640za
ZHg9LbRvi6BAZteAZiN0KxMnX8OhPLQZ/x/K+K0t4M3RX7iaZII5zFY5NbhMZSa0HAugrTCE9f6Y
2ByZ8hDDlLZtqnQ+YmgvTaJjjQ0AweVNZy6ILbimcelBYNh3isqkydJn2ko5bqZQYMRtq5XTlqFX
hZa/Uh3lrphqerDVtghVZ2eW05lD97ikvf2gl/bXvMovSwgLdDHCC+TjZ7Pxb4Nuzivuq2UXu9+q
wtiprXs0ia9ZarVieSIz7E2R5I9Rn1xYmXwaoqb2Rlf5NgTObGlz1zLpnk0kuUVmlzthhNKLMjoz
mcXHwhSKxJgwCA9SYkWMy1o+a1l+dsboPlZJUehThGtJZg4r4N+INfOMaW9doxqsnxxr8HJDy1dx
wHR3DGSISaMkbcllSKgmRMU6FvQedbil1vUocjudiZbaQNIXnWclnMICoz0XNT031e6jFU69r0bR
PIKNfk2DzFj7ungt/DgCDBs2FxnJbD6Zq+sgs7u1Nei+N5U0iWIeV0IYwNnR/U+rhRQcewpD32FB
dTdQASIAFTkvAg7eMbKWBjgyvZihGqD7VyKqUZ1a9Te4M9i7VYbzvPsFU684WUvaGzj/yYatXNcr
wSgtcMgmHIvCaemjAICtSLuA6QJ+fpe51nDSO3+rmdk5HLKTFTs7RZHrVtul6dLvjy6/szaam6Ls
AdqM9jlOrQfbTU/kWycY/aNx6UfDJhbQC0r5VmfNo52EKoPMhg0nKtxVbbsQ81y4qU0E5DUujprW
bmolvaOht4vLgHC0It0KjSJIG89aQv+ypbXDdJGnfcDpm2ikGKvJU1jLS9Mq0CXhQt1FpX3Q3PSS
2cImQROwcIih9HLQgMzt4c0GocDSgTB010byoLXyINLiKRFDifu/ZkIr/DvDNh+gUp20NDY2jC7c
5RAJy6NRYy5xKCFKCWwgLW2z4ZwDS8aaBmiF6XVv+Q+Tz99XFm0N1lBn6eHnghRlSoBRuIjinT9V
b2WmGyt4kOQ4uhrDGEaCnHXjhcvHigOT4aevXzU9NAddtiNy2tpYxh0zGLLHvsGt2BsSAkwY2khi
Z+s6bS81lU+Tpd/6AMa8CtySVzaJQj6yuEbq80RTkqpVz640BT6hmOiDuy1tNTr2Zeb4K63urqqw
3fiZdtuF9VHtFBpBhXMhK6Yevp1eJZyIB1sqFyHGImk22VJthgtrdFa0vmjdDYiRKZQSz8r6eJWQ
BIguITxOGeNUEyz5kg7qt2Dyb0vgV4tRaDE3FxabIYxeq8I8BblAiOr005J5m+aRN6Lue47o2wZE
FjwmesTldDXqer9SOiyZsRvcDLpctZqyddHeuG4Kn7GoLmBp00oGneSVZTrC27LwcVu5uQZe9JhW
Klgs9aVEIwwDPmzp43aXoB/vyL08THbOj8K0MTpjPRMnutzZA9jYRrXfbDkExOQUW3IWum5GW3yd
RHE0A9bswdVXhFetSlG9gQiFGlm+TEOwsiVvZz22HpaqJ2LCl36MP33o/RXoXYzErKYBOWAdDwGQ
C1bugqguuBnwQOkdjvZt0crjxGQ7blgopW6Bl0jsLS83suRJHgUM3cVQu6eKRsdGM/r7hOcWTKdB
07ZnMNVpyI+JQahMEJuWPeUbyAkv7J0VqdVhi25izFeqrlsnx1GcjQLmblPV1aOMxY2Ztai4J/eO
/uJTFIfAj1kXFjUcCIZCBVirQawnzfmiM/zeVDB0+Pu+VBFBzxlRizVEYIQhzMkAeE2X9MzNpY8k
mT3v2Bv8W1+E+4amxwLbH4hjJV+5afvqW6D4SVF9RQ5+iiK3Bonhx17T+Uda1S2q6TFcu7nbLREW
Gws/IoWWt6z0fMe8DG18uUVBVJkCyDxvg+1oEjNgs04qEIJ6JbsZc2QPUomeY7v4avY2qFFAFL6P
En1GUxC2cCNmWEU5Yyswle+KJmQrzgwwAjPcAuj3CFRI1Cd3Msj5Sb/FMwqDFLgTUppkUUPJUHWZ
ei7cDEchSh6N8VOPkXyllLAtgEu/xDNuowiUR3UGcFRMOFjNkWUejS7chNIwFXBiobNTm9gtLwm8
zENgVFINCMeVZTfR6XbL8D8C5R/EIMrO/11HX751L68/qKM1fuqvOhpvChJgTEJwKHFwfqyj8aY4
KoFSxEvPDhFO0n8KB9zfTI3kM1wj6CznH/9YR6uq+W4lcUAN/TvpALktHKb+bhtQRttzTW66NCeo
6fkrvj9skddY6KYvx5PMzvpoN57mM8MaGvdumAibU0fyJ10tOzhTcu2MxpexSBTPRioHqJZQInhm
6sJu3Is6dk+6Sg9gUKwvVOTHpHXvp6m80/vsG576dalYBVBX+ykp0oKN1dI8hC0bVUsPWPiBB/id
u4gnesYq1SKZ8waj9fjewi+y1qnJAbGVDNV5S3LNfIwT+z4Ypy/kRTEuj91tX7Z3sWzOlWtcSrq3
GzxtN2k8EFk8BJd+11zkfUctrdR74TB8GCDypkPOPU/LCJ576bS71mF1sCBocvhcZ6Hy0BY02pEF
4QC9pJmznigcl5lN8Y0VAKN53y55p9alw7Krg8AXhnhFLniqY2ERKVWON5OSYl3w4fcWNYXaQHhi
pEsPMibK7UyJSAk2n9KJdFer921MDGpyYefSXZa9qNG4+nNQVbRko0ExMMfTjgalhjstdIEqDKwI
nX7zHsUWaOMATRzt7nbmybdmjjB0sNAb3Im+p2EKxqgkvbdsVMLFIpZNNA1BNMd9BYmx9HNm+WUn
D0zNVnE9btRk2E59Z61amCuLKAg2g2p0nj35bOmAOQwbbTjEnrciMo+JWrsLPNjPk4E7Akc5bXu/
vWuy7FmCLPFN4EVJztZX78a2JdMb2qUVZVsQ2soqjAsT/WZ3dFWIbDEjamw6D6NhXaQFmoHUHF84
EJR3RgpqJDWuhehY/vsduvTNEEU+6lIftav0txiYqaZLfT+SSLZwFUgdo8JuN6XOvdKBsLFKZd27
2kaVHTpd1H2O3+8ml0Aaon0stods6XYKkcNlsZGSEkm1cUdp/lpvwT4o2Dqrqr2fmK8lpvYt1/nM
/Ij5gYOgxY/vIIg8BWl1HkJUXUPjoP6cHusqo7JHpsdYnAgZ5sLZ0FykLVnfWjQ9dlSEzMpemlGu
2ED3qCGXQhZPluybpa8z8CY1hpl/ldy2RnUX0q6C+W/U/GnxHojVqqCQWDT2U4n7iNOWdazwbE0k
9Kg6xEMYRezasJXa9tl0gmsA5WtbZCe4DaehUF3esUlDlotmuLSywxQTB6AH6zh7jdF8tvTpV3Xv
b3LZz1xRA32nOZ4lKGdHJTrYJUmaa9ePEwm1Hj6ul9QHwGeqceOpNeTLJNAQNo631gQujDODjUvJ
vs2yYA+D5GlywmPiDle6pmyIE6YYLt1XP1W3qevwGHFSYzrKA+jP2Jph5UfamxkZBS+UuOUxfrQb
vAjCzy8baV3Vrv7qkqWxipT+nPtU+2kt5igCjcBvPzMXiRUiammYkprxkJzH2L2OY9YVBkwEA3dk
jaaEKK3/P3tnshw3kqXrV2nrPdIcM2DW9y4iEBPJYHAWqQ2MpEjMk2PG09/PpVKWxFRmdZrdZe4q
S6JIRgTcz/nH0vFfprB7zvLmKtQlMmjXDoN2FAiS54Z+ptQ+r73WulpMZh7y0nF2DU16W5f6aziT
gxhly/1SVRfmEr3ocH993s/7IvS1TZcZlzG+uVVbxy1JPxCzfta9VbW7bHo3zgKZ1SoNqvFXNYmr
K8d38RLZuVyHlrxYdPe8M3TqmvRDHHc3Ev6Y7Bzz4CzW5dRr51XBb5nQ8MHUIeB0NYui6ihI44JJ
1bW+Ydv/QGfqhv7zK/8kn8vo7Y/Qmfqq71e+jgtCxyCBHtez9K+e0+/Qme79xiVgG9zuHliqA6D9
/co3f0MN6LBhEC34LVn6d+jM/A0MTuFw/LM2MR3G34HO0AN+uPMpeTVJrvYVFMfy4H0AcxuHwPXR
FSGmQJ1Y0CXPfGw+fniuTY04L92WAFBNzP1nK43PknB+8iJ9AdxKX82BYmlyTEd3j+GiGDaNKdKD
qBuq+9Ikjdb4MKqHSA6UcBOR2EZKFUZlAAHoBoe2KZ8tWsbful6EcmuUNhcS5X/k7uOt5Hzcxtg2
mk2XtxS15NIiZFamZIQh0fdXfoZaOgTNWGVJzcKb2pOKG5TvGv2/PNNIlO0kRM9icIh4OioMJYTX
zNTfks8Ggz5ThxhL8o8QgNRLdY4C6Lgs47VuLhfx4CtH/YVV5Qc9ig8TJOPadiT7ga7Z66oderAm
K76oLWcnau0q5Zm/qUPvvKtjLrOIMSSC4Lwo20qu6QzKNrNDoaekcTJwm/40de1JyyZvNaLEWs2I
Kjgjxg1ggONzNHXk3CfmLN8zs7tNcnErHL2wIV678kprsuVoWuBJTb2Naid+JN967XYeXTZhQVJQ
zq5fxe9uS2GAUcP+G5UH6d8zLZjFrebY47b2uB3chvAvKQkRb/h1a/IgMVxOq3BxncDQy/g0RCPX
aZ32KxPnRjdp1Y0zIrVwyIMSs1yZfk+vm6Ej6dOOxBpvBweIb+5r6771daQmyCok59pW5PgZGfTW
EwozHLpu/WSHPSCersH8syZH7bqdUZf+8Che/S9oXB44FVjh0URgwHx+oA5TEY8i89v00hBxvTXz
0Xim9Npbj3MGTfX1e/1z/imS7c/Pv6v8+fVN/uL846u+n39opQXsgP0vPbTqaPx+/qGVhgxl33Eg
qOGOOTW/n38+ZWbUJKCuxtj9tZfs9/NPGc50gBHFCeHh59T8G9QBkPWH84+dhwYxz1BufEMl0vy8
8wzzOFid5Y6njvqHtdVln6phviEjmdhiPzoVepO+8oiVZFObd9gMGJ6BAG5Ro7xrsdii6LbAWyiJ
igjpFWWOsstFwpXI8EVGhCROuSsRdpU3lp9HLCJVuBuBIAjgp5eldl96M7l1huVTDG2HWqojGLK2
1lMVF9Ra1WdmTVFf4SrPhF9ul9y45XsFY6fDDGAowJYBl5F6aFrDxTmy5t9DpIM9ZdGXtPWOFgIR
YU2nOGr3lctwyAB2bcRCbKlCwJVkDVeTgXpQ5XatXANIj4QzNSfRpAuWi8v0wC6bcFzre53A163f
0drCbuVtevzXGzODD8EntarMgkOztu6kT5br7Ae9aW56TDmrRhKIlBTzYdHpCOnK2EPHuTzY/pei
CgNpTFQlFmfu0D32YknWdUq0qGWSa9zP7HfOQAC2Pc1vg6gOg+5uXVMjpFTED5HOIU8KNNJM9Epo
bFiyln1quASvupeuFa2jSj5Umv2CVvwcHzVirCWg43HdtPqhD7NrY0bXG9nOjccrFFIAt9Iq8pvz
/FJa/o2TiJdsWihXFj5joqCjzXfH+8KwnlLUCJyt9MYMYPJ1r5P7NLnneurdUT1Qrp1FPCRDCjJV
kqFuhvf1JC+R855HMsMmnue0NcSfp0G7q030nvF00/nOVjjaY6+lr1i42DIJmF7LmoLfRSkSjbZ5
d+f5VvRkSjeWf+RtuhhTF6UR/kHrHSXlJjRUcn2/bGtXVaZZlCoguXdSujZF5O6W1LVXsqw+m6Xz
ZJKAvyaW+hkonM+XjpIYfgG9Y1dd6EP+JeQT6UuzCGAzVHcvxaTzvnK6L4MGImjE5p1NaEHE0Q/Q
1eAzHDuMWoT5uz6zqtTmNNBi0lhn01OWw+wh7XiRFpbclc3asrIK46Zz6o0PMo9HUwLjd2V9FhLT
d2n01cPUPuXNweSZeyqIDaxUWEQccaOQoY+Pao6v51H6hzCDKancdtqRNwDb0Y8WwRl6iv0vZvzV
6ndE/VR4UoTZMZrHYTpvuiJrlvvh605sD5PHthqFmXVbhiYbJuqxh8RKq43FTk2gFP02bNlTCWDv
q72bflVCsfwd1kJWcpjSgBS9/Az9lbspCGpEHmk+VYOdkjzH45bHfKQpJaDFZ5LrBEXAWkuKIPL8
6darQQAq1MJTvHxRdy9Zwl6QgCEIsIQ+KxgLJiwNpePFATY5tFXu5WQBc4JELML7lIBMxB5dcljC
t9gyDgnYhUQrmYNl5Em/rdX+uoByUPfJ4AXuYcVldJmDhGSWc8urq+/om75sU/ZUMBMf7ESaFtNL
OL60jvVQVeZjIShqNMBb0pyaiIZKWaXdfrCpJlwBFMRrJKqXowJsSgXdZHF+IcBy+H8NPH2E3zSd
/YTErl4ZDSlFZvY+gwTVqftQN8mRwe5FtqQ0isI9OWBHTl+JldXE5soE9kAhF2lrEeovYkpvPLAn
3jxAqJRwhC5z74thGHlCzG5tjx6wOeI5R+06QFwY0Fl/qo6HaebRc1mM2tg4tGpTSliZ8KsCG+hn
glUKTvaCTGxyItWWlZMVD1FMcQbwK0kiLmEbVqEvYO3dmxZTT1D5Tbrtej/BkysuS7XPDWqzM1jx
lih8hsO5iFn9NLUD0n33SjlLejuTa7KWI3r81ipXxYy7zY2a1xH9EbJwGDaWtvvEc86xc75CtHVr
knSLu6mUe6007gkNLtZhzbsBF0vZRyYCL2S8csaDW9T0tjs97U/cDnWHXW206M7O+ayhpGZsy0Wk
yTMp9Jk9MY/KDetISyJr1/qfjaLt3OM/ExE7nC2UJuivJqK+eG7/OBGpr/pxIiL6HWfW1/nlJzEF
ExH2MVdlrbEzqmHkBzEFf6QDytrmv/bI7z578GFieoBtDRJ9v3rL/s5E5KrB+CcUWPFirKRMRKQC
YyL7eSKy4qgkFmLWTzbmyGxP2IoBItpkxzTM19bSXnvx8oltg+e5y3dj5H/SEipuCngdu4p2fggd
mXDEkHfKQlnJa2eo6AAT532IjLqYDubUBku/t1PtidZTDn1Oseikp350rOjDWTs284OrI7vMWkw3
zrx8Ae9ELdsDzhGs/USiRc7IosF4jd3TUhX7EaAqMO3hCqTM3DSUmvHn4nwZMGlSDXe0WBB4kPOH
UutnQuDFW1JDcC/GF09DbV71GaIEY7otvIkjbLKexln7JBeLrWihJZV6XeKi/cvSmedzzcpu2JpV
RDYZQVPIhcD0y/9o39lrLP4iXXyDHpCSa2CdTgi7Cem1LGLZoLk1X0X2CG4Wtw4BQyQ/2aPkkiYE
M3Q7GXCEztbazggRZl02TRSxBGPgWTA7/1lPqORBLUIaFCVyMR7XMtuTitAA4mq9sl/VG5ZpkHrh
K40uBUbgfRmepUHSZZdIgoiisbvGnEXD4JLL66EyUzIFyFzkXOGlUmqRVrKUxg1FL0WJpbxonMdq
kazsPek+lrS8VaVEK526Yie/KjahH9r4Mcb5Gt+jRZp1KoJ0HNZx5VRnPmJnClKt5BjaIg1Gv28p
7h7c3SRZwVEqk5PZkF4Cg2iGOz3r3w2/8nZN3PTrJgujve5oL0PH20f9QrPBGU1QQcP2mODp29NR
/+Zrlb3qm3Hc4EAClfWtQy56imbsNL/yTJp89bYkVEQDVfWRh+ys3EQjMbT2jvCIt2LS/R0efDJO
pJZfQW1GZ7xyXB/hWD57FX4iY07EPhREErYC23FJfzeYe5fJgBoksEVyVF7qmczUio6pVWtTxdp5
mjwf3Wo8j8Ze7vwYvyOZ3+auJj5hw5sH49ja7wlSQSLrY/KvLXPHXo0OWCwFjj+/Zo5CW/UCIU/X
e0gGy6hEPmDKDrIAa9gwLOkaP2Xp0B5I3AHPXHQmU4NimiUru01MNLagstabtsRVyPQ9J9dhT720
cV0x8AVYy9vzLlwE7jEmCoksJdf0CAMfSpVSaVYqxCuz5kdrsYQ0JPhjtWnjCTth+6RFzadcaV9C
pYKJCyDZQSljUqWRcRHL6IhmUqWemX0kI4ZS1OC8ICqgRu2+9NeJktzYDjky9Ew0B7933mJ0OYBB
2zFCqDOh2BmVdMdGw0OU1xkmycfJGd0dJm1nnRdSHSL+kZfi0KMEqnhONYUqdIV3J9AKNWiGaiUe
KlERkWz4aqAqGnJtCuguv+oW6R08lEcVCqQWbrr5KknqmGcaVEo0DCSrBCpsZxrwJbQzQrUQ6DyC
VUgvvokE0ReuEj71SgJli+UZ+oHkUtRRCSqpDLWUh2pKm8wmmJWQalKSKhK0GGmUzMrC4PaSepAi
Ttal+8gcMKFYvYnJwLfOHOR0KwttGMkKxYvf2pxZoi+R9zdX1ajdQuUon3yWnEU4mADTI6LM5tHj
R2LimzWC3hkunVVYjdF1gbgaggNXV68enkWErF3qm3a1HW9SGuB2goyRmzySdeAh4MBfIFHQpA4L
kT35u9rS582SsriRiZJzwrjzburndBO2iYk7prA2/pISfCDtd4C1Jcis5YDd6wRZcV6Y6QU5mMXG
HIWxM0fSD0xRh9uMBo1t7Np0M4chkfbkge0NZ7KDFAYoifMFL0pi7Axz4qhP+WnjgqfWGCkYyUsE
LUCOOZldnFKigeEb6RW+tuVgq47LiAof3dlpaA1WacFS20RdROQQ2QccU/0/4M83vtsGq/nzUeep
f/kF262+5vdBRwf6QbjvAe1gc/jAdjtYK5SHHoT7q2Dz39CPY/qoi4n44a+4PyYxejjo2Rvwyn+b
dP6WatQUfxh0XNdkBkOO7ZISon8s/Mw72YmpmsSpS6tH1FZcYplJBpbWE/CDU+Yac3G1p8Dcv1TJ
fduKfvV1B5UlK8LkxhKlVwIPeyFVoL7lZbhmR2c3jKRKeFN9lJhO6wHquvNe9YFp3SjGven0yog8
HnxGd3zQIqiTaAetheDUV0q70bofGfitJC7vmijCgcUy4IzeedXX91KnucAqzASPZPOaqw2iUrsE
l99+UtsFlms4KCT0lA9Y1pVmOuehM/qb7itlNWohOys0Vg6fNcNrwQ+/hgXtX8ZM4XakyC8PAfmq
qbSbDlwFbzYUWaHIstzkxAtn1w1CCkzXCKoy0nOYYyZLbiR8WwvvFtvNpaeIuDrOHhPDvOsqvw40
uLo6QzFJNNG9xPaYNO2hd7jqikXfEyv8RSjCj/6ZfQYDWIr0iCLgqYAZTBf/Tk9rFwYL0lAa4g7m
AXCKN6GLa1qcFcVodPbzrEjHFvbRUzQkx5m+amwyNyxxhYhJh/VLrhMfK7pWjJSqz7MgAKCkkEbW
Z8IpL70lOR/mKjqYaUsujQ+bYAsc27LAge7QBoA6Ex1bHrhLRg+gpvUNb5gBtufDUNCKVklMvmXr
nXyjnnfY6iE7nfSAk9Q/Rq18M5oBjnRxo2uNzQ1Nn82SNmSXzWy85xCp6HKcSgRxquQFMBPrslTp
ApkdBZ1dZNsyBx+h3u4Uk5e4Frl3GrUKyaTji1U0V+8oDM1Viyuul8ZlXdXlujeB2ykLIleKfj80
+tounQiSH/T+s1PHDzhm+7WklIRAAioLDZL/IQ1oTypVgVG7PLi0DsGovpA3tethls6sUrvWvfrd
QoPfx0hMm8lbl5kj16KTcI9ANrVTnE0UxViReZr17GSZ/bT2c5/cgSr9JMbw3i60dg9QiZJfc1kS
Ipsf26DdzWhXmtfDPTck4KBevSnm7kxg9W2y9CZJoo3T50+jkC+2LysMo2gi5pZaJ5n1gXTQr1Wi
PNoeL65taWdcddbOEUCWvT9nQRm5F6LRXz2DYpS2mz/VJh08g15va6pSkC8zPszTcMiYh9ZDKS7H
fHyJea25c+sQFSHGyMqoH82yPvpAoI5HukNsIpEzwtdOjFtXNsVKy8dmjUijIsgBacNMI87sA6iW
s/2lG+3jSOkVXuH0ogmlgVO7yNaZYezSuP3spdyV7P96tjzoWovrmCgAFHvw6v5RTmUe8AMH0TKM
hA9lR69R3YSLuIHq/jx3fk2MXkw066RNZ1o2a4eqQCJdIuIYsubWIkovrrMbzylpECysgjnMVIWX
Lv/KImN7j3pjI8MGDYup5WhzSfIRpKGxHjrrRm8XoFE6OMjbgK/C60wdjoscnJoMhsI8oE8KgUk0
XTN9CiQh4tUD7V3/Ayl8gxQQdP35PXv7/EqnEu6M6hewAl/5422rtnai+IAICJr6iWjxHDiY73/C
V32/bWFTTBSwHksw4RK24mC+wwrebwK4QXfJUWZARZX2d4gW4gA/wgouwIb66YgRVF4SRcT8aN9K
hxKcb0LdmHtibfUJpNwQp5s6VdqhqUNTk7XMv7Y1PI1pcV63jJ6O8FzQwCRZh3NECWrp6XTSOWjv
bWDruXTXjki0c9Etz3ZoLJd+372NTtNSlIXboc7DW7PXnGM5sN7Ng9kwFg/NJcPKJo3ih46A21GU
tBP53lnRGWeW1N+zaX4YYxgJKzs1OZ553dj7CQSMn7KDJYVZYyjXURHPZh6gg2rheuEoYMDeUpfL
29E+Z4P2Ng6qX0iJqLGbTCS9Fl9QEePAENplJ2CQiQEmQCobSb7ynZc5JnZHTSmIQwcYFPr6gn6u
HuKiujYczr6K28CdLZbivhs2kdz10TFKDk5t3jStQ7JF+LaoqI7yytEJdSAA+LKEVFim9FNB+2bI
MRWX9t1gI18V6fscKe1Mblx79ODhHGFTHKL2vtI6fFY9sug+j/Pt1CE4b3x2GOnMtwWpWEHHhLJv
PYGFgGsKxquHoqiw1xQIWtdtSJAi60cbWF20z2K0SYVm7ggvTm8ISDGCCdHRKp0hEfSE3mi7og9N
NsqBjyRvnTF1oZWVNxW9vCsLZ+aunwg2wNAYSLNLCEVI7X0fcqI/lJHmRkejXYpPxNChCcihxHn5
hmU9mcBGw5SACNjee4the4qHU9xJkhG+Yp3dV9xTUi70hZQ3V+NIzf19Yunh1iYO4+SKhGmC8lUQ
2Lnc1tZYHYvFSO490ickhYbMcf7njA56lmH6Q0crNQKt7tExzN6dX44Hs6BCSYY9Xm8930tdv9d6
1pwejc5mCpeSMZG8aU7iZuW2GALbEpkf4cArsx2OE2LqOz4BLmFMbqXU8NNVOXPreP1Y31GH+9Ji
ATx3MwPXSBq/1Tpb+WLNgpgR/VIjY7uDC+Gm0WwdSLvr97IP5d4gr+S2cZqcXju3vMsMolFqHZPK
YNV3ldcFXefA5/QL/WiJvZ8cCKE+1Fh/SZehm3EmT8MP15opp3WBmWFjJ8Z4jtvQo8o2dM66WTxP
Yb1u4vEBeWhN46CYV+ymaRBZPujSZGm4P/zxc5aOIyktTRgkXlfuiIfMXjNkBvuccA30+d5ZNsbT
fljgGWWn9NFyISTP4ea/Hk0dqxWu9KM3zJctFDFiNCynKCV5MotBbqlQm4LOKNuj5i30UeqMBIyf
y+af++jbfYTz9q/uo/K/guQt+tV1xBd+v4505zfh6cJTUfzsf0q0/J33RxIFWK1cvDYQ89e98Pt1
ZP6GChkfIRcFLnyVtf/7dWT8BvBtErkmsBoSRuv8nevoV7onyzTwEZsIrn0d/Ofn6yhJGbpivEpH
PNuAPjY58hEBxo6dnRVJMdYokofFBTElK8kgY6ecl9sewjqCQbswSX5FfK+qxpt1JJrPqZvr+hUy
XRrA0oE9atUOpX8qmCvPIrPPk0PTzcYd8buafdBbITU8Olp3KkIzPMtmBw+YQUq/fpu4KCvPl2jJ
21e/jJzxKM1a2teYAneDU+Zv6AvBq8sES0VvwfvvROrpW7/xkuGma+buYOX44KDv4Z82oRJuLZbL
SuQ2sTg3lLBLNk1KxiURbJt4ottRNrLb9GJOzu1uti7CcKn7VUoV4HPfEvLJ9RvC57kW2UIoZ/qr
2GDdmsvPpKK8pg4aVtzOxbp27Le6K94cv9K5v4rG+kJgGAlN7GdNNB7KRdjbLtN6ukMiZzUYgkt9
zHqdfskR1A5JwSdd4xH2szF8nRICe1qzNA4xfosLLTOQQ+gSXr/pp8NS183Owqu9lhwR9AaUgJIe
gCm4FSw98gre3DpwUPvgCwwDryvOvZ6Nww6le5xtezlkFhNBYpCzYfnxzk0Y3mWkrESzl6LwQtrk
lllQe/6bZ8XazhuWfa6jake8tptD2G6tLTKIYyJDab57tCgADLJxGVauY+8q3Wc476Z1F8vxMjMn
FLAxR7Sf21MgMVajS62Nk4iy7BYBnXlTOk75lgpLnhVNUn4iABWyOGmoURzS839Ora+nls0T/Oen
1gMDdC9/BVjxZb+fWR4tIIaB817oOlwbI+rvZxYkGygRkkvL98RPWk3rN19QHULvE1jXtw7o7yO0
SU6kZZD5aNI38/WP/gYzx2H6My+nSD6kT2iVCCbB7PPziTUJLRqkLPvLZc7Wjezp4QQp9YrVD6/L
L3Rz+tfQjp8IQHLsDYRZxEiishKW+kF+mNT1vBsaB231peht/z6LcWswoefzsseAbWOx6sreOrT4
sm5TgzFbJ+aEknU3eqqrlGDpaPbPdShpOCVpT1fxbN6Yc0V7vDNHUA5Dlrbm52FqHO9qDJth2KZ6
ZQWDBQTuZFp+GtMcQ0VS15WxqcacEDdPi6iRSNqwxFA2M3h4ixRBW77auTWi9anzk9WLOsdZkeXz
tgqpjM2RsWt5Sz4g5rnKPIlBt7OLIU9PssvQOdUcGrF/ZerijVbJL2UTbcNW3LlDs0fIsLM1p9pB
v6ObqOGNrHDrFxt7Kg7hPDeBmdGc0RKUnM/NOwHKN0tNWo9Rv/fmcMt2UGxGS6ZPboYSx4+y/qi5
tbxsWts5yxP/WPsUmSwLiAc5Tea7RcH03gpjpAQd6ll0JCCLuWYDd3tHiL9L+klHEBoPr1qyGDui
xe9nXXvMSZIMqjQmPa3rIsOl0ps8pggh6AavERSopf6JjqQ1MJp7aXXmFDheGd8ggtBQmety40+C
0ytPZl5Fo+pWbdbLwNIked72ctNwhJ7FGjlzf/0ZM9Tt+uEjxrbJfmkDvpp8rH/+iJGcCbZJ1ttl
uymegW702+XWXWmrZk1ryp703DiINsXO3chNubLPrK25Mfbh+j91U35dOv/9cxCUYjJqUPpDrZkQ
Flf9zz8HquGxp862ugyN6AwOcFpnEb2u9WgZK8/N/E2DX2crqWiGxfXEMXIl9Qi8R4QvFuvZnS99
7lhAoOUzwWD+tqXLdtt19ZYm4894BWz4OXDOcJk+NTkwpiFpDnbb1AzwbiINiXHToqTZQBHtKI5a
pyiNG8sLqVjw94sJWQQ8ZKnG1KaDPk584Lui3KcToa4myF5Fh804RhdGCNVBU4MesI6siiJtAx7i
yxE/6a6JqPZszeg+As3WzeLYT54Aaqt3IuOD5vqNte1F+h9CQn72kqkIGrSZhG5yXgLjmx9L/vzF
GBF3hfJSEGi94yBARCQZBtAKbNBewXo2Ecf17yf6L04u1fXxw6fqj9/zw7upTQMDWxa1VBabaIwl
iuMI93Dr7q2COr4mBCp1yPl0m2Zt520HUFjOBHCxvnuafUHF7qNI2oaGQO0dynpbN83RqJxrES6v
dtR8LsakIRu3qf+5k78xSCbvwO/vYPDcPf8rZeQSQOv//Pftc/lfWywUr0n7+qttgi/+fjMbBu5I
ImCIsXIdrmbuvu83s2H+xhWGWuXf2STftwn3N98gZoTmld+/6vvNTN8XlSy2R0Ly3++m+MNpxren
9ZHSN/WPojn4cIrkQnhpKJfT0n1qeHjVBv3DC/OLj7b6F344p9ThxL/B42QZvsG3UD/BD1cyy69T
T7Wpn9pJQ+K3tfMEncGXYdj/9ff5+TdRlZI/f58PVz/m4rqRiY32R7W9yIvR/fLX3wBL6l//Jh88
phHaDaOP+U2MyV0N1r0Ldc/27msnvx82iKLW7fBU9/s+uerovNCTtzQmHPDKqK678jYa8bc1544d
bTzqBiLruk9vxyKmk7n4Dy+F2lD/8jX/CFgmWoi2U70WJswVpFj9qR+QK+jWaURsitMbTfi7S4x7
w//0nOQb3v2n2WQKe/3DD4A03XYEbwvxNh+EWCVOm24Q7nxiC4B51H2ZX2SkPsHw11ZTr/0U9O2Q
eoxcU7uy+/FGR7oIMVnRxyO0ZS1xea6MuhdkaUbibAQJkru8eDQK82wMBWiroaX6/WRyQpuZT5FD
6HWrMiV4xJGHGqUU2aRbvZuDoZt38XIanGRTROg+G21FecNOUlZRGFdk8NFq8qhIzKi9ayM1tOTU
DDjBgNXCGElNtm3sohD2aR1k9GFzsiLFBkRtSCeZ9XVP7q0rmJrq/dw8ttyKM7W6zVieE91zTetZ
OhW7gQCw+4KLpDYXc1P5d51Fdgn6zlRR/nYSWUS3NeTmeCgSqix/wkjDXQgL5tthq6rnvznd//Qd
Uiq+H94hZZj+6cH/OCmPCf6SbmqXk9iZ+/CwXHSfzB0Js6d2pV90e3brDV0R63lrrs/Y7bZVMD1p
h2zb7cTOOSbb9Jvq8k9/oA+X7h8eX3VB/nBMWHneu4X6yFbZoYKfHQNCHPAki/9wHP3qk/njcfTh
wPOSYsnjmO+jUap2N31ponVCNoUROOF/eAj0n1/ibyfSjw/Bh0nR5/2Qpp8Yp9hcp1ekHcMn0s83
thtAjOiEFfWvD6hfnYBoFbCnMxYCUH04AYlWmlw3Nw22EKbz5WXQrv76G/zqAPzxG3x47aAbXKpO
DePUDoESNI7aup3+42D70wfzX6/aD7/Fh1PWn4iSoUnXOPnD+dKcdc6d4Xz+69/jV1fSj7/Hh+Nx
5q7GPmYbJwqlcLkgOnRu/PTSj6dv78j/b3PVMXmVVVu9d/+j/uXXqp5lEsXd//35P9tv/x29VWoc
+ek/Nl9b4a77NznfvLV9zpd+e/DU3/zf/uG/Bpy7uWbAef5CI3eQtJ1MXjuuFzCIn3rn1Nrz5+PR
nUxK/vqvv+yHwYjJQ5ApiA/Hd36ELBiMHMO0TYWVqmv4X1MRjXTIanzXBZnA+gmz92+M1ae8glA2
PKfgs4Kp6u9grIAmP30KOR65tXw6bwyKL2AYFULz43FEePrkNE1bXJV6bVnH1ui5N2fVwGUDtI2G
v5qmAfc9ITCvzVB8XlSkCr2jt7QhxSvTfZkHQMqa9BXJWtWoOJbOs/Ogt9xLoaJaNBXaUtWI80IV
5GKrSBejdvpVXEeXmop7GShKZquqTu3cfdFUJIztj18sFRITU6vUq9iYykvOJxUkQ9LgUaubKykq
O6hU2EzcOdRHqQAad5ZfEFwgQumlSnLfLkVGMgKpNRrpNTGOrJU7RXvX7S7LJWtWmcq5sZvxaSTm
LO/mfJ0ShWPa3WMEZr7DuIRGB1L2FFFKjdsE2xSngdzoxOq4Kl+nVUk7HoQHMrhTZZGGFS/GLW6F
ZoUz9noyxFkh7DerK3amHJ9bKzm3DJAhSfLz5BnnGLH42/6+EPIRk9mhmoiSxxf2WLXOo5++mCOp
v5b52vr+qzTak1yST3Y1vWaWVwScj0vAZHIF0Yqk1h73RYzXJ+048BeNBI85S25R/132tXa5mE2o
snxhDg0EhjZR84dUZ4+ydfLER4EOyR7z80aJi20tdtcRzUJp7EQ7VMvOtonyI2pfsfHa6d5ptTNj
ZCrAiHHmVXRqCcLA6tniFs0arta6NCgbGkFk0yqQSU/EGibTXebGkvx3XMjOEJIM2huCTiX+1J0N
kt7Hh9BzifvvrxzRn0RFawlEVLOTmF0mw8CSlmUHw45QMXRjtLLGBcuwkAcYNIkwXCPu2iZdbayG
cyJaLmPeCv6mfEnhKp3BvhojcYhSl7oLI91hH7ovOmvv61NJiolz36EMFUX00FbdG5Cbts4Wylft
3rFWQ+PHW+jXxzIlsj8y8EC59SetRxWdt+O9RvgP1hhUl0uuNRtzyG5nzZiZk/HT6DqyH4LO1klV
H63ZP2UWBHM3T2AX1XjRT8O4mbypOrljEfGsSC9IKSb5FpHSobTJYPKeuxB+DgFoCGcMcWBm6ace
Y0qe3JudnvMJTNwNz1pgWQPRAZ3b7egjBZQZZb2fdCMk65VM/3o8og5agiJFErpo2jUza7yZy2YJ
XIMQNVWtR/6Eg7HZZC+PlgOxcc8ZHnP1Wbu1aFSYCUBSGpoI+tdtN+Y8UfMRU4RmVQ/k5rwLXaRA
ita7XMST3/rYjPLLGlOcwca4orUg3jgzt89cNDdx3z7nFkN7Mh+8ajmzyE5fS30CACBLGnWThYx3
fjda+TnS+vOx6q7zWjvSMZNtUSYHiLyOpj9Maxr0shXtrRQuK9lW78fY8rruvVZ9dPk0Gpit3OeE
SnQ2RLFqKy1bGRXKQHoKYERRybKnaR4x69Yjpy6NwTMj2ZA7rx3iC6BTIwk4kM8JLJ92Udv323gZ
zrrQRGIjoxsnnp7ThAh2Wnmsbde0+aaOOn3dWs3eKZygiRPKlePptrPRy1OAt8kn6l8g1I1NWdqS
h67ikfAcjFZJuqmmkBQoHIpWH04k90S3WBNOVe3f+qG1N6cZ80WpuIs5vwnr+jJiXdtGnZc/ypFQ
+nAcLjQUHogD1INtp59ch2A8ZxizLccqqkAjfplKGjx7K9nCcJ9xoN/MVjXsG1FMARfANcp1igtt
Oxjs/8feeSxHbm1d+lU6eg4F/AEGPUEmkIZp6E1NECSrCO89nr4/lBxFSWTc6H/QgztVKYk0wDn7
7L3WtyxrE8rkBPaNpiMFL27h9+xDH3VhUqWHJuyvIho0xCljICAHAIlArbh5kPLavr8xcDZu57x7
aYh0cWyG7Y6aqyED8UpCBym92TogOCYw0caypSvm5y+mxrNdpSSqoYDCODoGMAkYxp9kRNdOXVSP
ipX5q9aaIG9MuPNI2yAkmSYCqBN1Y5S57MWR3HppW7zg/nrAV6evBj/3sKnRxOQnd9juCDHSNFgo
oxx4ZI3znRKnsQM4t7XB/DmL1IOHhnNMp/d34ZRcDeyJhAVj1IyMBoekMIIVI21uN3qQ6y7mv6G5
ig6lNA+Iq+Mjh6PCgdU4MHxkki4l5h2zu80S6WgUxmUclD9GhT/X6PGjCawQgj+hAGaXH+j5V4Qe
zwjl5NERIt8yCtm1aVmv9Ent3IQA1scqjdNdg0tPU3nwkVs/SJN+prb5PlSpR4zAHZu9TOgiGa7s
/7smCs6M0G7tOdlCNafjjgjbSbsCCKZOprehMU2bCOvs9YG3gu6DCfBrNBbSOqs5rFZFOXtTYV0r
fla5BnhEKu8xd8uSPGeMdf5OrqdnU+JmaMNe9ZLEwhWH88LypX0UBM+Et62DhEbrGJeboip4vSgv
iwS9Z2HLgSspxiuZQPQ52+hJl7FRxJV5KXfmfQHCwS8XvlGgvcUy+EsNfaSjqnUIYjXHVylSnDUm
8ZkysVpuHjPdVKIJWM6sPJnoD209iVza/wwQSdlcM+0AsyKmAbZb/CyT85nA7lu1kR+vqr68iHps
hgS/byayXdBokorRyck2DhgX4t9kv2sZQ1YqutYirokKtK3vYSAhw7GC2usVTcYm2Pdkek3AKOdl
VTUfMloFDgkKxiqrpNuwHu6gc0LPi+wVA5RD1yjw4joLQ2FTYPzQw5sWoo7rp+2uC7DKZDK+8by7
DFKSrbWmhWtaSkiNTJ4nrW+9MZDStZrkO4nKiQcylleDSrQS8e7Yx3ns65AtJN5WkDMhW0U/BtpH
Umm+mbJ0K5EUQYA3wVWJnQCmoFujpuprP9UXNjs5ERXGa4MhCOoWisVA2fs5SQX2jFR1NJOHIEOC
W43oJa3OXMVS5gX+CykJBwoDTBmIhNC3xvvSqJVV2cXwHqJi51cMZi0reQokgx7AEN8q0PGAJUnX
IkOMqpLApNvDw7icwMxwpqtUFrlbtUQZT0aH9Smp+DgozyBs1XQTCh1KERhYayoIgiXBlOfuzVQx
u3DPjG6QaB6irsey59ENa+UKi2UNi1M7amYE39WIa6dLyhsz4jcyAF1TXo6s03V+RD+de7UJIMlq
X+OMaEZyEB6qMWQN6uQ7kpb345TeqkTQroeGJVXIL32P+toacg31sRjWRdodyqb2cnm0HHmisW2X
MoodM/5hUxuHPX7Wcsx/zFm9n208MuR37og4eEQFgaArvit7rM8NVZ5IWPpI1O0YjWG1KdKIN9mJ
jTzWb2ZISSeKEfM4NV8fQ/5I48dO5DsfR0mY5M++lbzEbXfW9QoRRausg2wkeQTmFSYZGjuCoHnF
HQ2M+35V3MCb3JY6JHRDQvsU48nRSAUD1jJpSBOw+GFYO9RjsUMruEqRY6v7JlYIuwyEmlyl+Ww+
TkVkWqdKMnr+g9GW/XqyzFVnlNKv8Pn/6UPo5kex9Labvx46/38+g2q0Bv79DLq06PfFc9VF+d/P
octL/ziHyngziMwwmYB/wByB+TAs00D6id2Dsyq9+98b9NYvuDIQvWjUbiqiVQ6QfzbodYvq5+cf
Q9X6H4UiauKvkyFOouzRTOdNtKfawlj80EqFX5yNoz7V50kCU4MVvVNojea5Fe/MDj5opNOOC0V4
Mo16A0nDuKpggjlzIF9rvn6d1N0PRm1UdWNI5ll/EQrF62E3oN5eST0pSblysHKFGS2u7V4fQSNq
BznlYdK67KTqlucjQG9CySsm6QrN3p2Y8gcDYYjlV0hMAG0rnIOnfJeQ0xsSvM6qpO0MK7wn2Gsl
6fLVlKSnjmw+ws9O46IRtc3xQKbhZln4hii4M1isJD6Rm9bDix21Rx8LH7r8b1qAdqhdcNGm12r2
Ra9XJz8MT3aBM3CmagvLU0cajVZUKM3VB6HjomLma6MMlXAcxEp8WrCjfYdGsZnXodw/2VFzGYbd
MRimVY9fUyfkh3Q1qOY40ey3hrg4FzA660jXseZYz1Qr5FWjE4j7ndTYlH/NdRjMmLTidVbCVC7r
m6mhSPDH6BwYAvoJsX0xhU2Tbeepuc6s9gW4OfLG/BT61aE3s60xd/usnrZdRXUYlG8iLk800klR
sndaoF+LUICXlMptK3I8d+lwTDqyr5SpuqBn/6wV+rVdmqsQrhXlijh3UnsI1Gw9B/2unkleEtJ1
bI87Rfbv9Wy6CxY8L1NWh7obGsCytvpytRJZdYysdACMUJG+N2HxYV16Fj0hhWU1bqzSQEk6lg+q
ikgpG8aXnElSAEAQ7ZjbTPaAVKux6ngb23m4a4u6js/6PI9kZJIFpm36GpGyrQz8+oscdtHFFhWt
D4a410nRlvvcrPtVs+hogblrR1KN+nU/cdJJR8iGCMlU+IFzfK0q6iZRZaYFyHPjHAsFhxLL5SPN
q1ydZ/DpHcVRSXHQLhrfblH7soIb6wYBcKQjfQBGByZKI/d4XnTCtPKxBgfNnYWbyk1MhgYxsuLI
mkiDiN+GRW9sS+qthAC5sLQ1wtDzrBqejkC5ahLqWXS/gMB+RLN+xOj3IKF0iI/1onLm/6UIKVGv
aUigo0UKXRBrvWijy55dzl/00uANSX4r9Zcg4FgqL6rqssHI0GDbYgOBPj3G320JOWyvA1CgIVSt
E9X6EZT2t3xS7wyE27x/LLuFDCh+UXVrJedo/Ibl2shjts6EtlUPAadEDq5Z0blHHg6n914fp7dO
yPsY+TjhywRLS8TlISxHpAGDOK1OSMUqL1vU5+qiQy8QpOflggG2k8ZVw16jl0XNx+j/cYhnvuUq
o8u0EFtG7BsCK74XJ+POl9JNLBOJSFWE3x2SNlFX50gWLxTaL6NO+EY9AlQH3oUyuTd4ZboNLFSG
akVqYYmbstLUjV+ojy2hdA7LFBQcYxdR/DHIiR6nABCpLemvkV9laxOzPUr6F4mCrFHBt42+zNzb
f9DQHuNogeSidmj4iUVDXq8u5WyHjaS8DQeQMXI8TS6poVTjvv+o4cV2/NIX3F+aVyWcQ2x74BFF
yLMqCh7LerAo8DTtLZOhePZ+sBBLGQtRN2N5rnbkD5q8t35fWs15zLDRTvjtrEzbDShmwra/z2V5
3w4WeZoSRLgI+gz+ofGQhPLNELQXRh7eKpMgLxo6cl7HtNX0QVubo3SIOktx8im5q0GyI+4vxZpm
JCHbIfWMx6E3CFdS4S99mlamhdKHOx0ZOk5ljhgEGGzkGRAARrLIyZus8MaOGiWZkGtyNBLKmF5F
BTPDn1vwf2sRjdLg81rk+AwC8x8qEV74RyWiLsJj9nq2+d+Uen9IBdAQq/jbUfLBNAWl/GclIn4h
HUsV1ClMW+Eu8gf/rETQFzB9Rfz3PyIV4MRvwXzExCrUny3zdxO6phu6KjOngR7kZR3o7sTJ9d2X
cvmrKOB/5V12WdCIav7P/+advptJLqMf2vsUOjTfxUJP+zCXwSGfaJ3oujOH/30k7iX5bJPlqG8V
/xJEPcq6z6+nfkBI/v2Kyzt695lUdFwRLoeOwLROcqwpgDk8NYUKmikomquhLqx93xrlyUyAFTWm
Z8YgKyp/9A1oTK3Ai5Ob30aUDztTI3t2qkgYVpoCBJAVHowCaoelJquylsFPJW/2KD2S8HpZKKrO
eQQrSRzUC80KbAH6NxwDqYQ5KIiCrZ6Ym2ZKI88wBCkZZVRs/GnMsclFcO1r7PbIkkkKVCN0uBbH
x+jaorojy6ZANUizq/L5lWIUVT4cKyIq1voE59ocrnxyrcne0LZFoVz20IpUy9zlcheRlBBcFBDD
Ok26q+EpOH3+rZ814unDbS/mxlWIi49aMBSkIoSRMTqhWQyeVNbNxg+nY9EJtHCtjAW1NqYmvylA
E2xN5v0xZlKO2KHUXtFv4D90Gaejc8pcu2UucAJHYmz1pqUL22nVSyJbBxMBOVG1h1JEuzFBTG77
pM8mp2k2H7C80K6iDU4a5aJxi151Q/5OCInhDoZ+HEt9D1KMmJXy0PqDC0VtN2nRpQwYLverdTRO
B5xNh86qi3U7Z/IqMIaLppcfqk51db1Y+CHznUGXzSExITlFXX6ZJ+2GbNFTMid7uUjInShNzBkt
zBK8pDmqeZqsOkFPTSzukMzXTizRRVOzEiJ3N7TAAlQANNC0D+lEFEPDoCPN2N6Hsx5a102HXVlB
1k+Qbe0pZH76aXTZ5dLN0MPKkvhZioUnEJFfkrXfRYhcXDHjKzUYXLvLmBuNCnnCi6pgumq7gswF
GhnmoG+GuvdkNN6taYFLI3+kKG7mXL/MfLRkwwg0oU2T/nqcwmvTV3bICtdWaT3qCfMFYdS3pSwx
v47qtxzsHgBgSAhMUmYUEwz2MLP2P+QhuMgZ0VQ6zklWMBKiSVPXSKYwJZI2/OAyjPqjbtCWMLLN
KBtuKjD5jv5F0xRbmmpOM7dLeO+JgMO1Okg7FoqryQqokyIqPg0JK1aue71u4AwyNaiSHBOOkU7b
ZDDSXZ1idKIgYDIn7ZNmvm2WRJgpbamiipu4h+kS00/rcHitOkt9trv4ORYWsro0pu9GSuXQ1AQs
NQOmKL+3tj+Xmf9uestZ9NNND9Wc81y/PP+Ten158e8bn2L/wpaiCzK4ICT83N3+2PjkX2AsyKRa
EjilKzrn7N+P4MYvCqJ2oFM0EjmHL8z/3zc+7Rf07DgsF4+MzLKv/yfT4L/qKtiOwFOhJodfhesG
rd5yQn+3SWihIg3tlOmnkDlvcxrHp3dfyz9se1BB/7LxLVcg8xAtMRBj9j2aaH+9Quc3OonBY3ci
ONnlpPWGSuqUEkll1O0bHIN1HdcEC+u4GRUp36Ho39ZV7HaCmE9zUXsTPbDJRb2VGvk27kJPRxYu
EeDuqPaBihRH4CIcn8P0rPzUktMZrbRzkC0a8xFgZcCXSLYPNk9CCqa5YfRp7Maw8TkFyUdNy0Jz
PbURAZN6lH6v1NRnOkgqow6pCVEfMR4xzyUGGP0Vdz06YkUEFNlhdaHgsnYCxTqLUkhuatWPNqH0
LhmDnE50fbiMR1h5GgJuT6k5T0x1ftHX0TfaEwdDVddk2rBYB0jb07zY5jlbBGbvW99INxrpLxZ2
Ohaj/JskD+D39RGagAQQlRZyQ76yh9FoHZTtjWASI8nlTqswP8rSNi+7fUuncWV009WYWHvI7Ijy
yJEHjrSvhHj2lR5QnwBwY0sgDaPnFnG60yzQI8PapkF8lmD/MV8D0KA+NUmwtzuxzSrjoOdkVtVq
f0w1qJ2Z5tYlIy96iE6h2/dxNJOjk6SXJBQhbp4JgInkJ46iC/0m3usSWaqpwihuZhCjzfpNpOUA
B5oxdDsr2k0pvRIjNiBaxCCcq4jZhJl863QbPzADXznAHJS3RHoH+X6caxKW+we90FbkzJ/Mxnxi
kz0nkX4dZqgQOx+lut4fw6HeFcC6Ajy35Imz/9nDNu2HQ6imN2QyZiRUpQ9q3twrvngw/c4ranNv
zYYnjfU3U29LB7PjRtKap4IPr07ZCFR+/k6+hUucAGlMBsaD8VAOKPW6KijZKemttlajOrrw0TaL
bzwFjKjip8DHMDE2bewxS+a2qd6mIt5aIPx1rfzW1fKTJJEVLSaUChDM+tFeyUb6Mif+FeDJGRB+
cEjiOtkoQQl0TRK34QwpomSiTmHFlCKDS6QwnpHKkIP6LIyjNdKdjiJzxglLWI9h3sS2/tiVTeCR
jgwLs1yennhAlUDgb1daHE6Ham3Q23cY0FyPuDxW3dSlF30gL3kVWuPaadk7oEx9d2jMU9CqJEcb
JuNgQI925VsvqBx6NwTzRHQbwg+e77r3GWhMEi2dOOqj01hH5qGizFjTBGB3S8oAjcSSFk8azloP
RU3rR5LddsasnLd+cl1gpsdV1skXmNocK5xUpyXTvOXIXepls8s7Gj+KthCs1arZMseMXQLfDqYS
sAknZb5RZmPjj7MNwFNly9TT0i3aqgCmFqVnAWCLDCAYDzPhWCvfJz5onu5rX3sWSbVlfcO+ppD7
o0jSekqlg0/HZunrGE5iGpjK0iK7KYxOWpIy/JRpfX499PVAIIp51iOL4RGz7lhfA7/p1pBALkQl
WBAV3rQYrvKOGUdJX4w1ao/ZYUtv3o37eFXO7QGO3CY0wqOcyg8JLSWtW2SjfrrJxwQCPH6GJmpX
g+WbCDMZIPp6JF7KgR7APAP7QtQ/ZLeJkg1eH2kbDU/uSsPOuwqtOeHIH9XH2UpOmlpCemmulMps
VmnTOGOG4W4ecJcrYqcqfkfqNArUdOrvTKm8zdSMWhfUFpabDlXB0GY2a063H2Sz+JbrrcT6K71V
DcFwUwenncthGS5NZttaytlgSkS/RZDQb3LaeBuW/vDBr7iC2qW3OTwdYH2yve+gkO/TOMA5b4AY
E5oFWgxHjV6IW6PCaOMQxD07GTTe9aT7mMWT6tb0p1srN+bH2c8J9euKxmOAhBpoGL12okVQyn2+
gWBbrHBmEkDfG91jTTiXN1oT03tGLCG7UthudfpsTjLARbCyej1lxZPZl7t8oK8kAK40xVmexD6p
pjsZbkIfYb0qyvCuS9VbUhVteCMATAp0HuvCT6dlGDbAnJOfNFTra23Uq8fOLJV1WYAtRJ2UXIuo
w97ka4/qiFjIV40RKYpkr2LcoF+cEj+oHhejDQwoSg28ZTZs749nxCxDvh/E+alN4jVe7J3BIWqo
G+/zKuCjvPy363D05UCn8dh/LAJagS4Lj+4pS9MjFKE7VqVLK8u+sVzWzjChwABKv+3H0kutZNuo
Ibh/9DJqfsFKdUAnjPU1uSKx5tqsZFcj2K1DmpUH/o+iMzmb8gjos3Uy5a/cK//4DRkqDyV+nsV5
99fyxci6ImrtJD8h1oHocyvHGQTFLxTLH3Dnv1pkdI0jDCMVQRPiw+/QMIScsqTrT2UAs5PooZ2G
oJ2cyIp9o++hSEv9o0R+5lVucw/a8g5cEhK5qWSh0uSrOc44R83dFRp++yZnV+qKniMlSiEdWtbK
IMdmwYCeIom5pU8fb1B5bsxsQPwNTvkaCsRz0uLUIxVgM+P29xvFdMM0Styk1V6lWvVwZYGo0ioT
9YCtrIoKHGII/oKtiNImNHdEF/yAnPjMyYpWIfTcUaTHaRa4b8UkoWgY4iPQ/8yZR6w9qOijdWjT
aFGi4N7vlOy2GsAq2UpwMLKSQ6RZtltTGUjpY4tTSk74sUjcUlbPWNtJKySBj/U+Pfjyc4eGwBA7
1sUnS4K3IQZlO8X6E3isEP4kQMTSJBtBktezTukx8pgB+WWmM0rZtm4RPmbKuEeR/4xEJ3ylZ7GR
TVquhFpiNVo0iE3lIXahB6qO15lppjBNONOSDHlRieYLvTi9/L8Uzb/eDzyQS1LCMiJbGG3vy3Ji
Loqcf2tPdMCeNbuhh1z26cmUmKiwnn4LGgbkZCmtFHNcW9FP0nt65FuB/BgmYqsGzbGFfg9K9WgU
1iP06NBrMqPyuk7Wd+iD8alGxAf1Vm+5cqFnW0zX5XpQsFLRoKYeYSGSiVGFhFrdBBngDSVsCnYD
WtMtI7e8rDwzmxH/ms/2ojXuFUIp60y9MxHC6QAHidtS1sASkdsbyK/qwXyE2LrDYPfdFEiry4Fl
wE63Zj7e+nZ8EMQEVoV2YxoTdwgIx0m9QWx5TOLwpoqM60wAnpnaRytJdIe6UXbNqqMWrHqX/h1u
1AXwqcXSWqZxtIZP+ixxT6xKW3tSNOlRCXtcYgyzXVIEvX5GuyGNhavo9UYmIMXOezI5GLKEPcGr
dJUta7gQYNwHpcc2kC7olfZWG8qTbY27ppieISe+VsSl5MJ0wcIzw8pJ8UzOSAgOIje9AfdsKCKS
duHhqHZ0lZRSsiOh2y2ayTVTnwEbBU1hBpxLeBh7yb4aqvYtEpKPrnWB8UCzbrtkZTZoM8AgKIp5
MBttE2n4NKzFzqoH82pYKtSkw44PlTxRhocCw2ggRZeLYCcIC09NpIuMXTwcAjij6VNfNqg74aTt
dBp6KELXqT94Ldt7XmflupOqeJ0mYMnA282YFIUdlcxCgiVhhEV3VhWswVBCB+uSEJdtkLfQVKtD
vsB/WlJJz2m5GEZSsdeD4aJUY2x9C68VnCkjURlmJLJEqeGUkKIc0TKX3hoJccOlabgiGahjTggU
TAzDDLlE/0CThrmCfGQIXENp0Q9xOCDWQ95w0am9QCFBDK2AuLoZejDb1A3bYmrBkJliW/dUIaIA
4y5g9PZ+rXyxtX3xpP70orw7QKuhPQGFTTq6qPQUm2OGf3nskcYN56Q+klPzhRFisQi8s5z9NHC+
WxkWFvX7lUENQV7kGStDUfxQxPd+vO7tQx48MhD8fM9eeut/uxIJILqK5V4wXF52xnefbGiwqsZy
P55mxM9uGY0k9frqkjBQ7MICD08y9heEccpOQVQI6DPLcMhqBnIRgy3Cqssvo0hvUK6uxlyzHAbz
98R2ngtZ3GCRJucrBtuo3oxBM67zNvCIFPiWx/qDFKblddAlvWsQorXJjO7CiGWHwsKdiDRYUeJt
8lYTD9gMb8o5XdNJ2XcaoH1NhdEx7YzSPg9JcFGzbQuJDDZ1kVZKsIyt1VgqD1lZu1Hq74aSkI4U
cQ4ov+dZnoxVOgRP1WjXD2rgw/7AnvvFt/rXfstvXth3X+oHm0li6jkZJNZ4ssZv4fwyWb8KYv7V
avTV3/+wcchSSo0cJBMBizdljBxOu/vitvj8rjA/3H8YcchDVYPpZKiXkJkcviY5nH4dpf3rp/hg
YvnVpaxDIKUkVRaVyl9vvVE0Q9jofApbXantaztk1CR30Si++DWW3Jx39/jP9hdWc+wQNL8oTZUP
F5riCEDtXKonyphXNrX1beoB43SB7a4enNx52Jmr/vByHa3C+9F9Tt3phSe62Wq7z7/Vf/RIv3us
f77Rdw+b3UckyEMkOLVev5ZXAKJvuk12Rdilu8RsecqG79lTVrUDBNy1GbS7+il//fxdGEu37+Pi
8v6RXxafd+8i9ZvUUmu+98dxp7rCaT37UjiMrDD+bx6M1cFcZxv7FHrjNr8xtrdwdzbjlnXPmTcF
ESprWmdrey0dum2+ac4hjXsnWN8XTneSV9PG2Nm74mLY1neZd/P5W/847frtlvlztfpQQUtqEyEV
B5hgOIVTes0PEJK3ypp8jDUquHXk5l62LzaXrwe32yH2G1fxnnH6Pj7B9Fz5kAOc7/7q/vN39dML
+skX+jHtKmLMXAuTdxXubCdczVuiiG9zRivM2B1A0A64UyfdoJXbqt9opLmfX3+5ff9++T+fow+r
DUuNNDXlNJ7kuXDFMFzMUnLqO0SIn19nWVU+u86HVcdCIYv2MZ1O1NROP7zK43YAngfyXwbJU3qf
X+2f17g/PtXHw6SUsfgbVdwRB51w8rsug6v/twt8OPNpo5WaJlDNU2JcqDF9QPurafAXP8xPYdy7
B03KSisXEw9aUZ4gFnmlSj6n9cWv8tX39GFxa5S0iXsRt6dx+VXmlGCC3+Cf/7pQf/U5PtxgHZj2
DoXFdBowZUTmiTTfFTPgz3+OL+4u8WFVMv1AmmjOsRtgVNHt3E3S9qxp3Uqgyo0H9dSTZPf5Jf/x
cxk/pZMEUtjL+OX9QmghZfTLqO1OevZWx16igfEwN59f4x9/nnfX+PDQpGQRSlWojycCU+nfX2XZ
F12Fry7wYUmck2zU4qLqTzKLNs3oREu/+Jp+7o+fPfjLhvLuPg4jhj5+yn3M2QBKTLDvt8mRIwK+
6lXoBufOyX6FcvzrHQff9PO1ZvnU7y6p0P9TWjVkj3qkMZyzqgJydmD8PyuHedc7l8Rg8g+O4WYr
xbGuJOe6dZdd/fKputT2nNqhz7tT62zzVbj56u3940ZOPssfpcvHOyeqB1nxeeiU87KRS06zSfVd
rqycZKOvH3JnD6r34k1+4XBW300XiKm+WL3UZXn67Ef58Lv3UmOGlT1RS6z79bwm9V41HfsiXV/b
J/MA9nP9pHq+k9Ox9VBCbqyV9MUK/dVbEMtQ8N2PJJF1q+dD2Z6IvHXGNZ3N+LvhET950f0Yt7CU
DmIjbaS34ElbjZvkjDfjx+dP18+D1yffgvhwnyS9lulNzq0JedKrHMWJlqpul6xu+9242yEddOZT
mzkPMv7/zCs34pLwvnXnhjuisb+lqy/ez1IY/+39/Pm4Gx++EkuymQ1BQztVLgTsjQml1pu9+RBd
KM5rsCN6YWXtyi1NvQMesDsX6gM/UbtJvJtovRQJvxUH/x3dL3P0r0b3q/SfB/e89PfBPQJ5Fcka
KUHLr7YkWv4Jt4F7Q3omnEqDqb66cG9+H9yLJTzTXBg2+s8gKZ7/3wf35i/ANTXs4CoSDzz6/5GN
+x8G65YMXkcGAW0YXG15E++fMaEESprWRnFWLWYrJNXBxhwWjScBSEBdA4VWW+Kl2rTLs1wlOyEP
nzJb7LM+8iy7xUVCAEtX7WJDOs+S78rMYDBEiuKQRgJ5eVTfTzL2SEwra6tZcMRS6/ZTcmvW/jmG
7YwCF2duXsTiagyI0nbqOS5l5uCmXOBSHmQXZ+dpRh+DbUjvNyE88lVioCfK5TZcRQqDuJgJpBJM
a8UKkIcXERmSBuEO5pCtJZ/MbAT7zjSR9UIuGh2ssR1xGcp3vdKuBamBg0qfp8XrtQCna8eojVeT
zwlMnb9b2QtmvodsjGwXMkwev9ogpd3Jh7vfZYD10yncIRfyd2mJqAczglvkkryRGU9dGIY0HPwI
0iaZc/QP6vgOHCWpyylGT9RnZ6DMK2MJpBlmPKBmBzigYjyVVHemCM5lpQy0LIaDPhIdiBV7kdvm
3TqXaCUOulyt7AXxnFTdsSzjcpVMReoxedyAFd0buXqfxT3ghoVoM8BSmWloC62i0Z5E37GbHYN8
Ps1q1q86oWsEq9SPaSut/MXcR/byoQstXLkgAFYcKlfSjKWhSODhNEWskVwO6SxVzV3cmleJP9Ga
GyDZqXPgVlgwPSIMXiuVfFEk6WTNEy9VSZtCzg5ZFp1RFF5oZBisWF4vwANMXLS5rCKzdayEr0bu
p87VF41CHqyauNtUlXYURojpwS4kzHZxsU0UWqWltKljCXZI0Ryx5oP9qqMaDZN5rZrq0WbY4dYT
ZaWe6fRPk3wZjc6Rk+otkJFEFgQC+m4D2Wa0x9Dr4/wY6P63qeonL8XFHzSauTZa+V6vAMFqFXOG
NF5PVWvSMA+ugkE5KOPiKRgRvNvfiSoo1xmIMRKbzV1Q4SbAb3Jou+Yc0cOWropCpPOPaUyTrUDT
bSflPTlYFbli/UWzqORzhjj7uLWfikS+bo36u1VOUFyxt82Bh5RyXTbD3m4lr5bViyINT1FR7Me4
OeVFetnnjL7p7EOm9rthZ/rG22xKHSLKgcCEqKMPSjhRP+Oqno9BhShRYULpBYtQcdBMrqtv0MFv
hkXKiCqBsCntsjaemkXqmHX2XY7IjhnqRa3CzMtaA5W25gTlfNnNIPx6RN0Y7K5Y7GjUt2tVNRhB
RtTVPlpLrIcHaxFfJlZL4El0LRSxkN9vZhJUyRdCsBku0k21bnlQMpFv7EBBu7hIPDXqZmZKwbZa
5J/qIgQtFkmo1HHn5CVeiHwRjGacGiwUpELP3woUpdkiLSXp+36G62soyZLAhPzUWISocu0LB0/J
C1NR/2An4TEaLZYJWb7MioyHQVTKmUSjH9qMB1Cehx9dwywkM8drbZjQyeT9N2QfXqXLj1MkjgTV
eoxYGPcidl1ZeqNvINQ95CPx3IDgvdKa0L+DZSjrSztKL2Qz9uZFgWhU/ikWjLEiM9kW+WTvhWTc
WfhMuDJTelu/VWQcyqEBb3JmhOWWYzy6laQeRx6DS1HY12hJt2OqE0ea0jUWqQoZKqZYKTTVMUSL
IEhEZGpiaLaj6jmscAS2E+1sM01dvMRvgf0aleK6abXrhO+EfUAhBSJPET5al8DzPTkkm9bvmZmg
9ifzeB4A/PbxJqwQ7URxiii4lb5H/DmMmeg+DNLXjeBE4gkWzC7qL3RJyV1+0GlrMPtaIi+UrAQE
SezOurPyrT2iJEBuGuxI7Vn5EqGo2kUIYpqJifgmN3O0YznG4Y+UP9BHTwqrGzUioHieakxOZueO
+FwcO2hemepHK4kJR22IGXF/RWnPrBLV2E1njAcdMyuc82rT5az1SXkaijLdlcpwxqZ7LQPsYGo+
eYYpLorK3kpo29DHTJ03dOqPxMZr0ghxlYWCGNgUV+PPMuK/9ZTOqe6Teip8btrnv4v/l1e9K6XI
h4I4z7oh28KkTfCHBlL7BVkQmF7+hWPTMun8k4gDa4HShhhHhgQUTX+UUroMd5Bp/K/ayP/Uh2h8
OCvQBiZsir+iINDH9mjZy4nq3XFFXS5eplV6KacCo7/OjFPRh/teAENpK+lchsjRuZGPSUpSTD1Z
22oi2400lQaNloUGITqSbXuLrjhd5QqwM8ihJbk9MxQbbWulnWe2vkvM3HZg08oy5qEDmkJGGk+N
QVwQYhNHQwXXjDzjApJA2/0QkDoGnG2thLBrUspjNeqvhIZsAPlGDKQLYpGjrNvGZb3FV37RxIFb
YOGa1dglDCAkWqg/mLDZBP6CQUUyMdV6BC9OfU7/L3vnsdxGtmXRX6noeTLSm0F3RMODoDciqUkG
JFLpvc+v73VpVJIIqV81OEBHPLzBqxJLSeDimnPP2WdtWIWqLN/TMmgsLNdtpjnyyGVJ9X8KgghB
jVkd0wbZLmw339SqtHK0cB754bXb0lzWE9fM2xxPKEWYL9r5ojMTeZXw5jaaRe/laHfIzVJAD1Ji
nTta/IiVZL4cVKrWAU3ZE2lwb8o4+xbnTT+T006imB2eRnqfzQJ43zgxQg32cws8XZ8NVEPtOUaR
x75RpzOvi285XiWg3CkbUHbpl3RepbZzrCDcmlA1P3VS9abgLCUovqSpAKjuKNG/nHQ0BtnfFAnv
OUlNL3ufSFm3nYcwVK5IlAK6dSli4x0IRNbUbsYkeIjSYtbFnCqBjS5eC4ITIvFNWMjfqmo0V0gr
9ZkaNMMc51DkCK522dT+nR/y/r2BpPLoZePUzHVi2gz0cqrp86SibTWM6LeMZx2ACj1AojXUChFo
wO+RoQYO+J5NstS/x6nkqi/1fprZOVosrVl6HlnPIq0HkDKOMetC/h5Oyw67cqQvk6w5zzL7zlBc
vveKYFCBegIv+UFpgpM6DE7KwAnWEqrVqQGCAidxNANONahTHEFqUEL50tWyMwjzJxTdrTWCOLSj
VXAmh9lDERbBoojRDTRBOeuh9OBihuea6HtXYnAiinyhqtU0NzoBhgdq7zXrKs1vG6ldZlV66mfZ
Qjd7h3pugENL1To4HnfEEDEaMVtu7wWloGrp3g37ZRfk8I5TEEupKURWfKrBusjo9wBZ0F7bUbyo
5eOCW3x76krBYpAdRJ7puWKkF2qLgs4YzyEZ0dQ6tEsVU4FJ0xBgZv5IqMuVyQzxKpSSwJ1ieuZy
XcD3O+WhlFfzKWLDhDgd5X8it9/8qI9mfaIh2BPyey2qvvR0rXWZTXNr3yDvKkLiYMdZKqmx9hV0
oqOrc+qp9GZMMG9DMir1HqRqcEXUwruFI9lESLnKuejXx5kbhTQk6o+NUSNl8aPHTGvvi7H5Olod
gJgKTYundRdDw1UB2D3tfrVZkwhVW7TNTaqWG9WL6w17j/DFzTnZ+4IO0DSp10ZKx8JCa1BN3rZy
JPAuGOosG51WUOr2KUaVVl+Oc7sBwjO3U0mHatEiF1/RCj4gftUwZDmDGjY0146cKPV155SStmn6
hmKOkcb+PZa8anse1fkqExicPKRVJBNonEBAcgpsOBWoOZXA59RRf6wDtViUEmgdWzI3htUHMy64
OkpC82uRZRWdJ2YxSWDzRBIWv34Lb0qRR/NYEwifKLWhLAisz2Bkn3NX3/phqc5qGxk0qsZvdMIS
e/kZHSsCECQLVFBZoxMfoAcNeTXrA4eULlwhPS0vJbfZJHb2mQj420gzSNfTplg9I4lyI55WWn/s
U1GWuwT2Vb4NouwKWgTqaRWXTq75FMlqtLNqeObCPpLC4SH21W+jAhSp8oxvUZvQBxnMpPFYFeQk
3ShxiC2vInFJl32Z1vVZH29i3zqVoxgxLPglKpJr/5nHJMhMRQBNhMl4ZloRkmvD8eYyICdSF+qs
AxlDx09zSvGa9qheQHLCfGWl3DqqTK6XmqBDoY6doeGw5iMROWQd6aaOZqPh3amCLGWjH6W1Hf2f
HTkdv5ymUeE4r42IvEZcoWZaBw2oE8SqpM+7OZZAJ7ldo86zaeP1FOs86NJTYj08lXL33Elh4CbV
ymvqrel0wxw7vetBYLJGAcxyBTrLCJtbV8C0mi69Iw9xHEoR7xHeFoJJFP4CwRXVmMRgSiJNS/hc
4NBu2aAX0ORPosSvJ6qnrchu3xZtsJQCEF+ok9dFp120NF87RvYlEDAwBSqYLtcbpH0u/nG6C0VA
KacGDDFPajkSBFZMNZxw4kMac4wBmYIH79tWi2VlBN000CsU5c0FkcgiVetPbUK/cVT46AlQ/w6N
3s8jgTeDqV5wJ3RJa3r81CK8n5kRwlZJUpbwWux1zYBO8TY5l3MBDoKj1uAlOClMbg0Q1ugAkOeI
wU/x4jAXUjB6S6lTNjFuUdOhs0iusNI2nqJemALfJlVosOpUTtajCtwNMQxQ8mfgm6Uh6wku/Cak
xzBD5J2ScGGTY4ODJDImKkvCsC9UPDrQENEYbEKXg017R00NvyPrKwq5r70pL3KAdJkA03m5OatB
1blJfi9n9krTy+uODi+0VlNNsO3k2N+owO483FAaS31yIuxVgOGNgorn1PJ1Kjh5qWTQiV/6/w67
Xyjdgib9h7A7eCp3th7xt76H3TJOrwqRN/4PrxyP72E3JrDCsoIIk5r5c3LzLYPpHFkiGCa3iQBZ
Mxwe+JbBdI7otaVPVsh4VV3kPd9gnBcvqW44nr+t5OzwntMtOqN4lkEjE/4ev6TER81PfDUL5HMN
WwS6EcdwbiqfM+9RhvFhkPoqzfQksHGMCDpHPely/rxUrXNTSc+bIl/QbnAVN81nIrEpHt39sor8
+7Q0lgU3Yi21MXQgrVRZD7jN0ujQ1/PRija1YVVENHTmqV5zC4DnBmBzMWkcOZ4WBYlFOcgf3DBg
r1U3Bn7KiVJsR5+WxHC8h/dTTJO+JhTlUtyHFtDAYFXRPTwJ0/Fe8axV50cB/UG1aC19CPGOHO3s
xAmLe9q6Ehyv1G8Su15RNp9Q5NMi0hiL0pEWozVeBA4xJp9smTthMyW0IlVVwzuD4IN+rVvXUCOI
g+Ei4pduFaSSqtYmrrU/FR0Xk7werPXYRMqkc/VNKMeYlHXSyuzg+ivIjlaNNCwzHW2H0k663Lzq
8uZqqJPyNjaGbZyTWzAx+fJ8+Q4W6AbmGAZCcn/qRbkBTIIeJyNMV3WL91jfNBtdr9b4CmVEzcbx
oDxW2GZ7bnM7kPtFI4z1AfcAOpJQzcbkAGNLf9Is0ib4udyaIx4HMCjhUdEAWVcg34auNedyP6zC
aliivpznsNWaijHzvFifdYMXmiV9vHVbntV9rfhz1wqzZW2QA9vUWYBqVM/lep3Z5JJryyGprNZh
iGuuXBK3BToCwKoiUt7GbdGR+zTUmj1a7pNJT15InyZqhrY61sltkBzh2HROk6YokMdqX1Mfnwcy
0upM0wGaqWrGP3XyrBurr7QMkZ2Jim+QORFH07eDQm+EMwCDwDPQ84/5sMHz+Ezyoc7Vas4zZGJN
yb+Pe/0htftu2vbtNUQNH6JCTlBeGI9hXn0jZHgaa9o3Wyv+5Jk6U0HTTtHkkTiuYImmUjAPu1qb
60YL8gvEGf7wK90vH+zIqBeapMdzw7UfBgEvy3UzFEbbj3Tn0mEad4LJyL0hDSp7KoeOdxp70pn3
ELfgvrzjFD6H3lczI2G+kMo1onFjpukyzPLLVuNuSkx8m+tIQ83MW8YE0BhOkeaRzTtX2GIZ/ImN
GtUbi8vAjaeDLlUnXfWQGgY0mUHKNhJA1WDGo/qJDFBPooV6grJ6Ikk+/Sdl306ajm889IsrPBe9
deT7mxFTYJAWxz0mwaaDH1MMZUNegAUqv/47nQOEgCwLhaI/nCtNXT+VO9I5/K3v54pyJLpVoQlq
bxTjH84Vh2uBY+qiqwRziO/pHI3Dg85HYS1nvwIbvp8rwu4UBJUMA0rRnn3HfzlH/niu2OLc+LvU
SjoHuSqNUzTVgocAKPGL8KUFOEnWxhnOOeGqBZrIdF6RO4xQQMB1Yl8Le4MrjgGS13BxDu7wBmfD
W+JSTKdYCcYk8GXjpBdW4m0IIrWpcFnGz2IaD1q1UBW8f4ADZCtcS/NLVafWRJsgIuvBM5YVruWO
sNmVDPlrSo6ZzvfxMgloiHSFKa+EkH+i4dM72hj2psK618sx8Q2yjiPG9rilBoSgaaJeRsL0t01o
Wk9gMsjCEFgS1sAEs9VaQW9uQ5vCOjjAQ1hX7KcOT2G4Jie5MBkuZVNah8J42HPieDoKM2LQip9V
Vb1yhE2xi18xqI6OFABYHpHXdfE0lsnSAqWJ8Q1uL2Vcj5Mmv+X02gS4IdMtvwyFPXIwduoUqNWJ
buCi2nTG6Zjbj6MwVR6GqJjaarsZhOEyPAZ40A11dt8EawVtKBL2zAY+zS7OmZZUnFKbvA+DBIid
hqVz4GPu3BnDlzFQzzi0+BcC+sD3YPtRxbEvKs3mFJMaARTC33jqymj/C2AHNr5JZY47lNUvZKdb
qsT9jeLQejs+jbYdzA2r3aQ95GCrtOxJVVH3SptKOLfT01PaaNYdj7pVp+p3eROfNhL7aaHn87ZX
QQANTy5Cf1LR9VR1PWG1962x8LGxIiOd1fqYLRS5jikmYLxQDiaOc4W8orJHemrc2lCWJwqZvKkf
Z+a01PEII6mxbrlShGF22ciJzN6XdxBFKS4UOInAK/W1dNko5mXfeXd1mjuTOqk2XlnHs1bizmFz
wYCZC7yDnjPqocMor6w4DeZZgmIzEwrmoHA+5S6A/oRKVVFhO9/ZnHEFimvOza08jN60brOt1YP/
xcQE9yzJHVduTe9CV0d023g65SK1kSeyMuakfLCZ8Grv2nIt5hRFipWaJKe1S+a/SSMHTNgoTYLC
Ikei65tY6i5NxX9IkVNN0j6x50ZlniSmugKZDpHNc877tIKpLKlk+nxlLXsgEeiGoxjYQSpCnH2e
9dKaGyB4oS762oTNXZhoX/KB5mqd3CFNEE9sUgDOPEifnX3W0tQ9x3wDfEiVtifOUF1oufYYioOq
yv2VFg9futA569X0OkjjcJoY40Nc1ECCJcNb2EYYLnJxB65d+omzAggFyMcwjJ7CkUbtQXWXY9NR
kIwlE5CrsNr2guvM96j2ekE8l/LoLu2yO6X0YVW3+raUw8+pSZ+kUtOXkWduLoo7p01mfwpLaUNz
6rHtJDKRjzE3fUDTmWCPZs20pa2BrjfpAf/IJZHOCV728aRDGz3xPeu+HmkeiTzNWbW55cyqBKuV
TmHiUc3Uz9Uos8E3Civdfx+Lz8eiEEP//li8aaB1JikipHduAfy9t4MR1oMoc4BT5PR5qVh8Pxhh
PdAjjOmgKmCLQtb2duGyj3TCNvq8VBOEjSKaJ98uXPgh8QfCCk0xYRL/swuX+dyy8ffBKJBA+Ajh
+6Wo2CKKY/jnOofSGmUiZUlyPhr+scb00tvMmPRROhvTMFu0BnmX0I1Pce4DHa3pK7lRlkFen/uN
tGaxzECEkfSXAOQqx12Vb6NGf0A0jgNpfdqPyonn6KvRF2G6lA1TH+9BOD+XZCeiuZkkW+zRUXD6
dLe7cZNPRwX+fDJQ84wj2h7tpCYbpPmbhsVxkmpUhP2I9QUreDJa5IGc6ItJEkFzlQufbFReGmgc
nPCeFi2RujXPbQPCnNpwiaIPKjgn5f5oZhkVHXKsEOksOOdtpKxJ85zUNe2CbnIDz/xp0MfTSne+
oH+/6QYcEcPYW2ZmszGNUQOPbJ7Tv3Qc17E3cXzjVqMBfMzqz51vLqq2bIFEgk/rHPuCABjuDdqZ
LjoLOzYSWrLAnlJxxYkWwGEp3TlCmZKxlcpGeMLR0E/E7YCwvV4DfSHrCXti4ZtOspBC53NvJRdG
25zo1DnO8uKSq8giAWw8WLhhG86i0fqrgctcH0JD0kplqykIa2LpvtXdO8oxC7Ohud5hU2TjS74E
AxdeSdYQ5EHvU/rwbGgZuiJqLuXehQQemcmnQl+bQ4XjUG172QThRHvmyZAyO3auhP7g6dC01z73
Yv4Zj3aTKkZdpJ8a3oZbwCqMAlrrsOZeGoHM2Ni0ipKdLFq+hzCU6LCT7XiWDTbpMywoA5skcuc+
Ak7CStI0b/TMvJJIXEzxKz9xEsymGoN+Vj8nhRSU/pVkuGsDuQMEKvJgfRHeYDn1lQTCLHUTirvR
Y5iWnzwHvh3cFVDcfKhV7iodVysXUV3We1NqVAtNp4oeWO40zgIE2EEzG9lBjTFacitdRaoWzyEK
kL6kWmMbRj7TTSh7spXfZ1kydxQSkVjt+NMiBsFOkYcrVa/A86lKGgupNdLDOKDxV5z8lEL3bTFG
sNsbe6rLQIezQKLG39s2TKi0mcRltpFBIJ1Qw1k0dnUfmNYJJLGrtKVV3wow8pWUcVwmadiQwC0p
HwxQhjl+P+dpcW23fPFG580GY8Qd1H10W0mZaa0BRtO+ajp31WmkGhXXXVuRROcekx5nLFrdiUGn
pYLZhupFFR2ZZQeCG8CANA5bJF3VFHAR0HNGdFJL5TFX/5kcmbhhWMi2YtRAmA0uwSom8yG6ksjS
+wLK541bKRq2dWveeH17E8UIBXr7AuwJNCIPtGmnQkPRAukTjfjAwwFp+GO98IfWhFRR0B6v1KKF
mPRyKg1bvtfhmIhpnuU5eWEsTWaqpD+pfXUay9JpL9fpHLBlOiec2SIRWg15bUwzE4GJbHHskz61
YK+gjFKL7jqx6IcuqlpZYi7pTFUNsH3Xxumsa5iB/Pk3NeZ+PRiCAwNHgYhMuioa+alKmBK6mQSw
nq3bvCzOqhg1CgCHpzyXzy2pW1QhdHpJjfV52lnqwlTChS+P5YmryMs+BdeSMOKbIuVDU1dEu1Wn
DzpW9wv8CShsBrYDCBNEdjx4K5c62SpThm1hwkdz2Bohmi8KyI5T39dPx9o/ryhUIhKRKTcH2nUX
Jh0Ci+yiqORlWOo3OQgT2sivFa9Qp9lISCRn1tbz8uPc9I9VPtysC0hEGHJzK5mjMiXpVcxjoBMk
m5nUUeU+tOb4UNY4N1S6t/JiiYhWaQRCFvpI3VzntpLMyojvl47lmY3jybSzhANcgglHyaWfXT7z
nXM2uiV5cQRAenUDffNTpNZ3ZQF4NI6aO90hclXUTsFzQeWOT9sCDvS+MR186l6ZVyB/VbR1WYXX
qaktx5zGbTdSHrqolycOAbMRO+HUdiKVHlOkzqX6qTUvu+p4dO87/Fd87RIfjwnpmU+hlNwGWsJX
k9ZLM83O1By/mTxWqpUcmk8KGz2qReeiDUyWNoY3K8mgaGKZYzCPATNMAnpmM6c7qfKYzkt1ZfUx
228wzMdBuYYfu/FhDFHkbu6smkqSXNTHRX3WmpRrDTB0nuVdAKsLZnHmBEu1KIGKlcGdMoxLxJzh
CWYdymKUylNnsKQFUrpoodV9OBkVTSN+xcnAwEa2y71jTNyxqDJtkZjMPAAKQ0M0TgX9CR8w/7RL
64mO7XliWHdhRuW7BHGEkqgYhzMFfweoO3zP3BlMiKRcFKiCZuxfx249OueKVlJwHSVuAlWtr1sI
zHHp2zZ99sOwHHukpn5uF3MOj3DhYNGbGMqpmhtrdqNj02Xq2DpCMjrQZ1Kpa58CK2eHaGk61itp
Bcj8jNyht0p9+Ukb5CekZF84cgRFoF8NMvYDtgXXXuaj8x4rTclmUR/jPh4h6/d8bnYh7BcXozqs
2O9hMrXLQYGh0xX+vIBQSHpuXJithM+5ZW48Bjv/QqVY0d0rKjQrSaJnJCitcy2nYhY0iTKl9HbL
8HOKK/ETIq3jVvUsjEb7y7Iyl6HNHcXQrHSR9jI33FLOZ3SbQfUtuvu07nFOia8NfZiZsXGbOMXF
UIT4b4zRutPNBVARilIKfCXAzkqd31iZ/pXN9aJ2unQa+0yBwCyuFKlcsMEpSyyKObIVdIE+Ekxr
VFapWasTJ0zOLTSjgIF8cLZONMzLnuQw+348883RJ1uObW8P1BbCSsUlQ92OFcmLuOtwUicRis/u
GUHufVnmJ6AZrGmWSHOFzn46uR84WrAGUa/Kot2wclcWCLJJ0fm3OVI3Ss7xaadw1EbKSeDWGzfO
7oxcuUdhzBmRWneV2p9m8K9BXjsYEmFYOXEM71My4C2rkMUYg+NSL0+x9ljQ9497RmBf+gaO9iC+
bpu8PR17f4IJ25dYN46LCG5FpQ0naGua1VAOoPp78zRRbAQHCRuh5C9lIwDKZ+irKKMyII+bptQ0
WIcIU00oimGXJBeai10SPil0/nZUiFsfSgy0bKG/VTFESlJoLECv0PGUqwqfZXIm4RerI4ax++bC
yhGiOWWbLenUqU6SAmJNoXUbJNK2uF0vo9iVlg4uBsScbs3iMmIANzdmLR2bgZUsTT9bO0RbgrGk
heZkbB3ztVHp36IzcXf5/XXsgaLwjqsYf+ftKoZ6n+sONmqKo9gO9d0fJGfqEelBmUyohRUy//jj
VcxRYbPSEWzjMG78iN0Diq8Aqbe5NiEQw2LyH9W+bNEZ9/dVTOQobdnk3keNzVLRv/0iOQOtGaax
GsKuql1pQj19ZrnlTa0m/jRUB6yOlDS7CVolPlfrJLmuGhcCnqzgwDq6mI6iZSRX5daTQtfONEsH
lBUnSBysENUr8pBalTmKivaL03T5TTaQa8O9p79wOP6nSQKRwmnc7Eav2tNShi1ep8hkAp8Sv1ew
C3apd0Uti/QTaJy517rKrFKU2wQu3iqOUSGFOFiDT19rg33jFQ09NnqIz2SbB+dx0CdT3XTA1pl4
63T2p3RUg9uCK8Gprw7pghMGSXoEKEFhCM7pIXMXBHHOCu2Hce51dCvVz9kMkdeIRYYDgAtIC5Ie
GfRLjrWQanKTnDQkRiISJJ3IlNSkTByROzFIosiNPo8sT56rpFci0izA8D8xmqeZyL/IIhPD/S6Z
pJH/2SBJ05vYK5HRvfOK6E5U2ufgwCHJktqpRY5HE9keLUX2bHreKhKZIMkk8yRyQ31qHptwWic1
tkfseiSQapFK8t1OBuQ5PvBFh1PHzK8zyT3TyT/ZxKiaGwOKIzPlkqFCY9WeoMyBLVvDTijIY6EW
iCejO54ZGV9pnfezgpxXRO5L1cq7kVyY5IJOynz/OCJLZop0mSUSZ4pIoXHCrcEMATRoKOF05NmQ
WZK4TPQVnLyTTKTiMpGU4wbzkHvjpU62LhRpO0kk8FCjQ7oRST3TLiL7nEM61L7IKmiWtVVX0RwE
+oZq2EjeFGXPLDZwz/It40mqMOpqbMqN0rB4rvFBdjGoWMXHmOWWiPPAs6mJcqJZ3N1jIexxZYWC
m2EHy8GI5nYBWQS1NgeRYbTT1i5RlHsR7QiE/oNPnBWgQ5pnobOQ5Yh6VjQyyEHlrul0pgHRiECM
sMCnoI9WmpdfxWlKy0igr3sbQHoeJfJN6oOTcnXQy1mKmtOAx0X7D+56Li45upxOtMF9GjCoC7DZ
W0eGcVPW7mcVPuMUiPPUspwzbiMxh7thYhtAbtSKzbVkl/o5MR/9bjD3p7kSmAuUe9dtJNLgtXEi
Bx3mwKjEp7JkHJdxExwrQ7Yp9FhZFxmxOIBmlHz3leKeS5236FCvL/QuQIFaBtGUxMGyGnBKxE1x
ZhfxFz82FnaWs9RZJnlu9Qxs8jn3q+Pe6vJ1JFn2LA4U5dzvcm3mNpJ/RXxPYU+nmtzY7llbYNIT
OiS1BwdIeyrqErS60KfSXw4KaUaIz/AihxGsoaq6K2JZzsoq05eD5zozGRjROi/SDfViSIheox0j
gRyPi1CRlnoGpiujOmJKTrkYo+EYYPB9LiXahRoScrD7IYAM8A/06ZqQNO7pvUcXfpg/FFbofatS
Wix8lvGlFYZPEEWIgFJHIw38/yWd+XrE73Qx/V7uEj99JorfZO+sTv+l/+itjrb7Qa/JzH/RFpUj
7KcT+fmNPRuz/vE58RYLsuYR41VKgJQNDUMBhPv84tCLs9R7/bFEeRBPGsQnuvmSjP1hjH43Cn/+
gFfvHGPfP+ePb/7XbK/8qyjn/zIIQAtJKyjEJ+L1bhAg5UP3pXr9EgId3iCI3tX9ZgICfsT2Js0v
Cthr8fp1JtBhqVFkJlX9PEhkqvmNhzcUwilgv6HQCCxFIKoKx9+fV4OMEutZF+Uc8BhAXvlVUPDP
14R1hCcEzR+m9jwZHLpmfx4KpgOFE8tksRzmPNh7c8QA2uLCYalcV55f78ZAp+lY1xiDgxiEH69f
hvF/mgN8yX+fDdYRNy/TxJP6ebKLhfXTFKC2RmUNGBk3uufXgc4EY+8dgc0ReaUAgVLzE693M0E9
cnRhfCLoW4e5HH69vf/zLcE+QjPtoEC1XgaBgulP80FVjxRNtw3odAc6CAKmv+fZADLAUA2htHoZ
hHfHJEosmas8B+WBDsLrZvWiCv4ehf6jqNHCjtB0cEN+3RjfzQQZ5gIxJXX3Az4nDabzB8wH6BGa
uLnv3iRVFN8mq4I98kDngwh391wUzpFYEWyAIvTg9W4+cIvgKFG4ThzqIOwdQBM1kjk0uET8ZhA4
Li1eyB9fbiyHFzqr+1+lbGIGEqlvG8O7g5JBwNvE5rp5qMtB2X8QzCOCBYJj/TdnhAic+BmrgTji
MKOF/Q9KWwivVKRSv8ssIL+yxbX7YA9K+eXb2eegREZNKw8Z+Zd98f2lmsASJRlBk9Ba0xp0qPPh
Iw5KMHAI4JTf5BfE9mhjKGgLpN1hLor9b9UclJS5wMcTHL6LnR3QVkQSB/rpBdd6zzBBO3Js2aDC
9hIqvb9QEleyXbAtHuzhsHeYIK6SGHzo+vspoB/BVtboEn6Nqg91IuydWNEwEbVl2bIJBF5e71cD
jSIIdl+NTg8vVFL2Xw0qWz/MFJ2y9vOLI/enLUExjgDdsWGSihSvQz0blP3vD1yqZRz3KP3vng+K
CCYckxaEl3Po8ObDaxCzX6xAXoFCKOaCb9/3T/OB9AqdYkjGDzZgUvaPGg1OgOeL5OsZwaT/aRCI
EkQSika2Qw2dX8OXfWYCn5FdgSvS60xggf00CMwERzEUWsIPNcek7H1GcE5SmAT181JtoiHk10Hg
/sCPdZoTD/Sg1D9iY3Qsam6y6DURr3eJFfYErtPIqg52JuwfNFtHDAK5d/n1FrVjEGjSYR6I4TnI
m8PrPX+fPUGHDqGC+HnLKfw6CByR4G+pW7JviNehRgva/nUIAicM64xnD66f9kXFIoLWbJSCr4mX
A50O6t63CCJoUsoknWlpe/u6fx4K54iObwueiPyycxzoULzr8fvnZSm2B1t0z+m/KVOSgddsVQF1
+BKeHGDwuP9lgpsza5+A4XcVGeWI4FnB5+hQsyva/tk2ZgL7gi4gA8+vdyED/HCHtKzjvBRrDnWP
fK2S7HNcCF0XC9+yXi+Xv8bRqoZ0wcJdXGToD/LMfF2tewwC+g32BCifb9ETMdJPmyQ7A7OFes3r
xeXwdobXbOAeg6BRjNBoZCZE/O1JoYKjIu16qNujaL/eM/NoHpkWjd6a/FqM2LEzmLRS04h9qOnX
d+yxf35Qknw2ZY5C2L27t0f5iB/KFO8Oe3sUTmN7zgdSrQg6CRRfb9i/zgciSUIKwMiHmogWdnR7
joGN+YUlak+vG8OvY4D0l4Qc2Un1JYI82KHYO9dA6V51qNdSkP3NykDsSKpB8PkO9LQ0PmJNiMWv
yb+Td4nSPY7ksikf6jX7NSe4z2nJZzShe+AW85uZwKJQ0IHrB5tw0fe/XOp043EMsDl8X/k/xU1C
v+DYiMGRxD+/DnRRCHT9npukRpGGLdI2fyfqQScNvR6owqFeJgTDc89BIJegmRYqhtf5wJXhp/lA
HE0elkD7NblzeHG0tn8q1j4yLARe8Nde5vy7QRC3DfE/yhfidajzQd9/UcBA0mWkCphqPb8Y3J/n
A5ukLLKRtOSKuXeA82H/QTAICVRgMUyI59e7Gzb1CYpYaB4PNXB6La7vc1w+pyFpr3xLuL5bFARO
ICdZFge7HF5uvXsMApUqJJ3knbXfKd1UEpDcN5guB7ocXpOC+wwCvTKAq/mIb1K3X/cEFXAaegbE
0Ic6CC+ZsD0GgXuErkHupifmZU94d6V6Ll2YOrn7Qx2E/e+VpB41kKVcpl4OSrbaX08HMF8ooA42
hH5HuvjnuRbE4CBvxZXx/afnB5aC1OtfnwL/wgH6vfd46gfx43NrMr4sz10dLy23/+t/8Na3+/4B
PxAWn/vKfvovRavyy7NfOnPFv//X9jEJ0llQ1WXwtVafA4AffvoWEDz/pte///oR3//yn37Z2+d6
+8MVzP1t+dUfnn8wvL7Rs21Cb/N/x/zf4/bHrjiu95oI5N/+bHeb9fdo+c9Pz4Nd8EmZcPvvj/qf
//HzSDx/5S87zB8fnmwfs/LtQevH//wP8c65kjJn9n74RPCk357zw7OJ4vZ+9nQbb1u+kurtWT88
n81w/+fD/KzefaUMDPvpBzw8rcvtX9Nsp3uaWMl7/4rZU/zXWVbuHH+Cg72fP4//mmUlk+ftWT+M
P8fb3s9flE9VuuvhbPJ7P3wZP6Xp23N+eOMfsVxXTfIlix/r949XPmLBrpP8qQy28Y7Hf8SSXafD
jkEXwsu9B33zVO4Yc1EQ2//RQert2AhEg83ezz7ZRjv2MKG9+4BHV9XTrjH5iAV6klV//XfqPcVP
u0bmI5bo6faRDfhtHP5eRqLXce+xOd2Wwa6h+YglKp4N2nHHWxd6mf3f+lP6mH0Ndu1eot7+Ac8v
vz49vj3o73EX7bb7Pzzjvb8954dnf8QyPc12jslHrFIejXXF07DjnX/ESj3b5rtmy0es07Ondvs+
dsTc7COW6Hm5ZQvYMSgfsUQv4u3XXXYhIg219zy8gEa5K7gTSea9H34VEDpWweOOkRHNR3s//3r7
teRKkNY7zlKRIP6AX5D+NXlKg52/4COW6vVW/IIy3ZaPOzcyURn/kE8xC568XaP0EatWfIgFK+Br
UH3d9Ts+YvmK33GcbYtm12kllGYfMkonTVD9df4lqPJdn+MjFrP4HKfb+mnX8z9iPfP8evvXZFt+
2e6KGUQt8SNGit8xjXf/ho9Z2OJTTMtmfHu7fx+RQoS//0f4k6N2Ckxt2COTcP0n38D9H15FwZA1
b4Pww8B8yFrO4u2u6EG0KO0/6gQmyY4DXjBg9394vQVCGW+bHXG4KJHt/wv+ZNu179d68+Rvdw2N
4MDt/c5viPGZ0m9P+nvKCJDS/k9v2Al2HPFC6vgBD/+jKcy+w/6JN9js2iiF/GbvN/8HhPK+b/yh
+bJjIRn/+yrdlZb9XtB9n6x9ozvu+ms/56LFf/E1ftqW//U/AAAA//8=</cx:binary>
              </cx:geoCache>
            </cx:geography>
          </cx:layoutPr>
          <cx:valueColors>
            <cx:minColor>
              <a:schemeClr val="accent4">
                <a:lumMod val="40000"/>
                <a:lumOff val="60000"/>
              </a:schemeClr>
            </cx:minColor>
            <cx:maxColor>
              <a:schemeClr val="accent4"/>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48C0-4418-836B-1ABBC109343C}">
          <cx:tx>
            <cx:txData>
              <cx:f>_xlchart.v5.6</cx:f>
              <cx:v>Sum of amount</cx:v>
            </cx:txData>
          </cx:tx>
          <cx:spPr>
            <a:ln>
              <a:solidFill>
                <a:schemeClr val="tx1">
                  <a:lumMod val="95000"/>
                  <a:lumOff val="5000"/>
                </a:schemeClr>
              </a:solidFill>
            </a:ln>
          </cx:spPr>
          <cx:dataId val="0"/>
          <cx:layoutPr>
            <cx:geography cultureLanguage="en-US" cultureRegion="GB" attribution="Powered by Bing">
              <cx:geoCache provider="{E9337A44-BEBE-4D9F-B70C-5C5E7DAFC167}">
                <cx:binary>3H1pc9u29vdXyeT1Q5cASCx3bu9MSUryKq9JmrzhKLbDHVwArp/+ObKdXIuSc+mZ6sVfajttSh7w
kD/g7Dj49333r/v0cVV96LJUqn/dd39+DLUu/vXHH+o+fMxW6iiL7qtc5T/00X2e/ZH/+BHdP/7x
UK3aSAZ/YBNZf9yHq0o/dh//828YLXjMz/P7lY5yeV0/Vv3No6pTrX5zbeelD6uHLJJepHQV3Wv0
50d3lUY/8kpGq4+b1/CfH/9KV9njw+qDm9dS9x8/PEod6f6uLx7//LgxDv744Y/x47ZY+5AC97p+
AGLCjrhpccwpEU8/9vFDmsvg5bKBMD7CDFuMwsjPT10CK+/i6Imf1cND9agUvNnTv7cH2HgN+Bp/
/e+vcL/+GmsAAsDiz4+fZKQfHz7c6pV+VB8/RCp/+lxV7+brV/10+/Rt/tiE8D//Hv0P+Fqj//MK
5fGn/V+XNoH8HyB7j+mHZQ4T7Z+H2UJHzLYYw4i/AbN1hE2LAMwjnN/F1G6kt4eYgPU20YGhfZFL
/Vg99v882IQeUUYZIyYzn35kvKbREbWpRcl4Ub+Hp91Yb40wAeotmkNDelVFcg8wsyPBLJvZ5ovo
5mOY8ZFNEKdMwJXXsvtiKkNvYLxBPgXgDYIDQ9eFdVytNbPS+9DP/Mhcy2xC2LPg3gEyIha3GRqB
/F6+dmO9c5QJkO+kOzDkP8Oaqp+gBzPkHzXKQBlzkxPzLdCROMKCIJOaI9DfwdJuvMcDTIB6THJg
KP+VFpHcg0lG+BEVxKbItnavbACZwc+2mbUpvqdztBvjEf0EiEcUB4bw7Up+cB7Becj3oKTpEbex
jTCxn1EWYyWNjiwTmxRZdBPl93G1G+kdY0xAewfVgSH+V7Z6yKs9oM2PCLjKJuawZDfdaBMWMwah
bYonkxxtgj2dod1Aj+gngDyiODCAnVrvw40m4mi9lC3zLZmN0ZFtWxQhPAJ4MkO78d0knwDvJsGB
oQuRslXzWK3UXlYwEhQjzF58ZwiHjBcy5aaASTCS1+9iajfK20NMQHqb6NDQztNa7cO1AiN6DSRY
YM9hki2o8ZEJVjgVlr0prd3JHL2B8yb9FJA3KQ4MYTA4wHd2VtX31Z7cKQub6zgI2m2DgaVNBScW
Aqyffptwv5u93ajvHmYC+LsJD2wOzNIPXl6BWbYXmc6woDZ+iZOJLRscjDMhEERR6C7j7F2s7cZ+
e4gJuG8THRjmc8gIyX0ATo8YQdS20dsLnnEb/kIjyT6do904j+gngDyiODCEF+mj3EfoG+xwbNpI
YDDCNs0zfIQER4zYozzWZE52A7tJPgHXTYIDg/W4zr7n6YP+52W1BaKYQzDE2kbWOkIUERNy1buU
9HtY2g3x1ggTUN6iOTCgv+bpPuQzhD4ZswT40ePlC3lqZjEESG/aYFMZ2Q3tBvUEWDfuPzBIT7Li
sYpW6T+/dgkGMwpz24LMxNNvnHdG9pENWtlGECJb/0YYv4ez3ThvjTAB6y2aQ8Nb9vtYwhDXNjEo
YVjGP8XxhiJGHBSxoJTzUYrqZCI/byD8mnoKuq/vPzBkzx6rfdhW9hFhTyHO50W6XqWbyIqnlDQi
GGrFXpcVTOVnN7Ib1BOQ3bj/0JCFysN9BDfpEYAG1XzWG8modSAErkH0egztVIbewHaDfAq4GwQH
hu7tOjmxj+yTOIJFiSF4/eL2btWKQN0X5CItS4xi19M52o3viH4CwCOKA0P4fJXso2IABC/YVsyE
LOLTb0fAWiAbUc5G+E7lZze6G9QTsN24/+CQVepxD1oX/F4LKkG4wM/QmmPbGZsgmrmwIIy9qXXP
V1M5egvdDfpJ+G5QHBjCy1Wxj2QTh4ot0Lwgm58B3sIX6uwBXtPmo8DVVH52o7tBPQHbjfsPDNnz
XH34SwaP6eM+bCvryLQxJvynbTVWvuAQYYtAeQgI8PVv5Py+k7ndaO8aZALou8gODPuv9fd9rGqw
uEBsQyD6rWoBqAcBbcyh1n5Tak/lZzfOG9QTAN64/8CQvVg9QCnIHqJZ9AgKQSCPAAX2Pxfshh8M
GtmkUHptIcgnvvaDp3O0G90R/QR8RxQHh3AVFfleSkDYEeAHCPMXs2tHrENQi3EMRvfTb4z0dM7e
wno0wiS0RzSHhvejfMjvo71khtcCG4Bk7MUMGwOOCRQFMUqIGJnZF+9h6g2st4aYAvYW0YGhfVmt
wCbbg/wmkI2Amg5O36qvh62vNtTj0rEpNp2j3TiP6CeAPKI4MIQvHqt72Jfr7mHvMjGpoJy+ZITH
JjdoaIuDbYaY9VODb+jpyXztxnn0XhNwHlEcGM63ebrai9AGzwmilny9o/UnjpuWGBRqWoLb5rgm
dzpHuxEe0U9AeERxYAhf5KCY//mFDLvTLWEKSDy81F9uVfWYR7aFoegejdyoyQztxneTfAK8mwQH
h+7eVq8NRT0vQnptWG2s3vVmRsw5uNBjPyqfxs9b2L6ingTtq/sPDNm7Ol1V+7CxIKFITATO0/Ou
pl25YiygBADZo4U7naPd6I7oJ+A7ojg0hB/DVbaHKAjkJaBah0Jo841S2nV/GKichz1Pzy70KKx5
N5mvN3DepJ+C8ybFgeG8fGxWe+kDBEKYYgZ7zl+iXVv5CQRVH7ATZit3PJ2j3QiP6CcgPKI4MISv
0tX9XqoD+BHo2LVH/CKrdyHM1rV7+DnUNdLG0/najfOIfgLOI4qDw7mG5mP/vDENe1QFoQx2u7xI
7LG9BV4xpJHB2iajzQ9X6VSO3kJ4g34SwhsUB4bwTQSbVFX0sA/DixwJbtqEvNTobRteDKr4mAmF
XKNl/C6mduO8PcQEqLeJDgxt2KX3wYseg30U20JhNYJGT1BcPfadGGyKIBzxn+0lNvMT7+JpN9jb
Q0wAe5vo4MC+r6ANotxLyxB+ZDNoDWPBNvOn35YAX4dL1n9Ble76NzK5b1fv4e0t1LfGmAT7FtXB
4b5uFVPJVfWwn/wUbHKCLeewnl9CnWMjDTGoI7JMMOS2V/r7GHsL+J0vOAn8nZQHOAHmkLG6j9R9
/hOCf6YPK+OmySBW8sv63oiSgZ8Nm9iRzckO5H9xNMWcfBv47WEm4r5NeICwn+arst5XI0fQ7hYG
gJ9+40UPXWWwgKp9IZ6d8y2BLz+8g7m38R8PMhH9MdkBYn9eR+rD5fdIFfsw72wo/cQUoisgAda/
raIEqP0FQx+6Cu1Y++9k7W30dw00cQbsIj3AWXABjaX3gf9TFRJj4JC/YfBBjBVzKFyxdqz8yUy9
jfzmEBMx3yQ6PLTX3Vwha7KHmDr0XF/XAcMujrfqFtDROmcCwdZRhAb8qvew9SbiW4NMw3yL7DBR
r+phih31zkb7UE7KIE9i/sxxj115MPCgbyBogK3NWc+gT+Tqt5i/HmM65K+pDg3xcLWXts2QNoO2
rRCZIW8VhuMjCNuYHPT+Ty/i+VyF28kcvYH0Jv0UlDcpDg3h6LHaixCHFjTUJNCN5DkIs2vDFlyE
tmNQl/Ri1L0uPrudzNcbOG/ST8F5k+LgcFZJ1Of1Py+512dnEHC88c8jUsAIH7vmFBo527AbYLSW
o+k8vYXyaIRJOI9oDg1pvZKRSlf1PpJnDHZZmtA9ir61xRbS4OZ6HxcD/b2xnt/F1Rtob48xBe9t
qkNDHArB9lHcAi3YLSIo7Mt80dJbgZenxAu1YJPICO3JHL2B9Cb9FJQ3KQ4M4Ts4IQUOtNqD8IZ+
YtDzAsJrL6WlW8kUDNlwaCUHbWA3IX4HS7sxHg8wAeQxyaGhXEMb22wvhynAWTgcEiMQI30ytnaF
0MBWQ4jjkY6+ewdPb+A8HmEK0GOa/wNI/57FjZdeH3T218/ltCM78v5D6qD4m1Lo37sb3XXfGgRS
HDbjPkfQfj772aeCFtm/TtZ71tm7eNqN7mvajXd8fsXff5T9HEH39vF0v07681Z6NXs6I/DVCXW/
v/r0+nC24Yj0xcjZ9cFeLp08/PnRhsjlK1DXY2xYR6+/4jMC/6V6BBf8z48GQpD7XG+fN+EMOhua
s8KA7ePzJWzBIRngRoFtxmEWrMOgEg7KC//8aEHUBK2Ly8019HC8HZhlKq/Xl6AdHRTIcNi9CW42
2GsC/Tq/8SpP+yCXvz7Iy58/yDq7yiOp1Z8fETyjeL7tiVXTFlDiCr1VKOxCIZCrgdBccb+6WTcq
grv/nx5IXpR13S1lS8Ssaf2wcHISs8RNWNtcU8PuT+OukcnMNBP9VedW8ymxVFc6Ssjyy6uvt4sb
UFtjbiALDM2cYGsTHN+4Vl6vubFkXyQirJslLiVaBskgfadmOQ3drtG5cJrWqr+ypjAip8q4Lt0y
rpLA8QfFLBfqBOWD0Nq8hDHC2sNpij4NtsHRoqe2/4h6A3Xz33OMwWLa4hiOpYMOJ8Jm0MXTHHEc
sRCw7fWSdHYQeLQb0k8N7Oohc8363HaavkOxFzGfOwOjfeT0iUkWWVP1yKuaXD+EnVLIjYzC9hQc
ztk4OgvNxmGVnQSzII/Dq6QWp5kSofLA3hOfVVieJWlrd7NIGfQiqsImW/z+rbZhgIpJE7oewsGJ
UIjz9NKvJgXrjaA1ilQtpfbF5zzgCDtWgmFqFLLurtquEreFj9K/f//Y9Vx7PRdhRxuc98UIdK+H
w98wWbP16rG22QVWoQK5lHxAS5SE9VKqyo24H37+/ZNg+Ww9ScD5NAwaz8BOOj6aZ4W0+qGswnzJ
C9NalW1epQtf8x47SRHOzLJOB5eYPc/dmNht9r8mzXpSbL4oTBRoM2jBcQvQ/HX8eNgRFoWBzKIl
KxN7lcW1vUrSNQ/2kKkZrfLc6U2AftGmZYudMsnZo06FOmlFb513lFSmS9o4T9yYyewTqQpMvJD3
/WNhNIVnGkPGXFvkVnVsEzrUzu+/3rqd9Jh/thYb0FgezlCFXombQJm0tqVt+8YFqv1sFVVaBQ4y
Ei0th/S9DE7bMEq+B1wU591QhnOaW13kYtSwH5oNQ+72YcBcK4+bx6gi7KGxi5Cd/p5Jy94CmVgE
JtHaQoYkk83ARHo9nWjFI7MKNbmIrbLwBfe0CIdFpzsi5rqpa7fqSvO6yXq7dsIwZG6F5ELhqlik
VoHdJC2zmyK1s85haRt8aeMsP+mV1k5hl8UnqhLu+aX03TqP48iJNIlbx4+VXLaFoS5LYyCzIEAi
dozBl5mLmzA7tqlOb3AcXAW9JJ2T1qxcar+80zgziEcbDB8y6jHIBqseBsdseXyehjb/6pu1dRpS
js6HoGuE25qhlbkw6aITg1d95rQ9HzzU2oY3xN19oUp9W5sGC50202zuq7I+sXyM78oQtcnCZwaK
nCFM/O+Q0KkaJ5Kl8a3OWOYVhcInSS6LE1SK9CFqCgrrnmTJbST8jjlNaQWnlV/Vbg/fYYEsLC7L
NutmVluVc4Q61MxSONgvcJs24KXb4NCfZYpUXl2Iy9A3AtNDKNfHoGpw60ozpg7XLP27y8zwDFei
uLWJthe1iA08VzQbVpzm1UyZXTzMm4QHc6PrzBVWaftDBUVhuwPWZu3IADfBvNNxDoujbWd90NR8
XuV+6KWaZMcSbnWgL0KVw4fOGubEKo4Nl/ktc1hud4Nj6dR3iTZktqhoMgusujevW4IsOO+4MlMn
hpmk50S3Qi06wrpzmgxD6l/XbamzzOmjtJfVQ+iHGA9fVWt0LAsdUYEoz+9xn8WaVHDCTV0X5lIn
Oku6UxGVw6IRtfZPsiqKCifGaX5rMoOcxD0htVsDBr7Tl6boAK6Mc0/6PuhDnSZtOaNJG5hulWrk
X4alSVl+nPSsDb2+S4U+p0oTmFGtnyPVujXowjk1wti/bGDp0MAtecFhwpFEZXOZRpVw0hKUlz/r
moi6hg+Wq+30viktOCfSzzI3FHXrz9uUpdlM+WAVzG0ZZIPLBxskpsSJVbtZWBmp06g+UFcqMrJs
lgcR/2HUDYtMz8yxXkQWr/nSNvzAP5WEaWbHruxUOfTHCsKRVTgrgpBlM181QzkXlZLRvE9p1h+b
SmWFa+M+jVzW2X26qKIyMlyAFX8ximxAHlQXJ5kH/5jGZRqbhoJPLuWXOMtEdkIqodNZEmp6M9Sa
kHls5BidhW2omHRYiEO98KumkLegjMlpHAw4mdcFcDDLdRoMM466Qbg87ov2IuM9TG0Dlkrl+QjV
pxWx7dQLfBLUHpMNwBkxBfaJHGIyPKYJRG08DgxkHumzsDxBZmQdBxFLqIuTpCRelEe+N9R+YjtG
WxXiKvbb2HJJVMaDkxXxYJyZfmrNUeEHNrArWDFDfTjkJ2GE2mCWCCtsnfV9DhKRkDB9AlK6XRsZ
g6O7yPhWQWfZ3nAiWEd4iQYZDZHDG8sgd33a4npJC9HnnhSlvrBrCSopUCwBApER+Fp+FCL5dUCp
DE/LPku7uWrtITpDOtB3Voztld35me9wBJN3XsuOkZmiQwTM1yjOvJSUiXJ5688iFJVf07YFyyIO
4uZW2bT9XlQhOW5YG/gzntgmdiT3YRw7zeNuLqsGLYeuINa10ja6Q9qAO1pqKO5q1LNu1uAsjo6r
DuP2RLJA4cvIYOKzNMv15IzjUi1YqkJ11fWW5q5ZtoBN2EpgLFcgdM9Ag4nPhJswuzOQkpUH2/C7
/EQr4eOruKqT5AZzKayTzorb+kJ3em18hn13ZScG7WZ5m8Gj83wYGqfDmR4WZsLWL79mvQX5BHwV
GVpatoS3qEsbPlWY5MngiqSBpVOkQRJdy4rBkq9qsAoCuAYyFWsZXpbI6ivpkCI0Ae626uqLzAgL
5URmXXbzDo5NJrO+KfFaaMBicuGNQIB0Aq3tZC2zzz4cJXLKmyjiDg/tBOZFH9BVKwmw0VVxf0N0
Z6qzAMzc+CwvZBLfctAWCyVNtCxFUH6FM/9o6YRWGOHTnAeiPvPDPGi8vmJlCwZuTxYFhs/qmqzs
75M0sa+6Wpn5cWn2TfKlpVmgjjPfyH70g1jLkKhMQw/8AE5mEe5DNS9oJr4Ypp/Ns7YISodZIOb6
qg1volyrM5Else3ZuMIBiD04G9xpQiw+V7HRBLMUS1gmg+ETcWLJHJWPGQjk/hQOVoC10a4l9iy2
DfiiXTM0M1AybXmGqhpT1xepbkDTksYE07uMv1WiEXdGD2b66SB0hR60kr1yMoRYcxK1GIbqMhQO
rtUGNDgpAJbWNRJB50PeNPqi61l6GzeqdDhTx1bWNfbx0FIAJzGRGhZFmuT5haSddW5o08pnYSmz
5izo2yJ0ua2y8A4sEfVgCgliBESnapwkVK1yRNvwErRAX96mQYmiv1E+EN44A1hg/adCE0PAYMqv
ZiEzkuDU8Iv2exiYRuOmTNHkJBImuu6U4Q+Lqi5VNIuGGiZphHVMrrokHexlRos0dcqiMemFhUKr
c3uwbtSsDQtAreUyCpxqYBnIDqXSGepIV3lNinm1GHgJsz+xuoB5vd+byvULRcsvrd2juzisYK6B
phOfYa5n6koKiUDA4kLEc56FtHW6+ivmdcuRkyQN+2RjWbZeawfaurD8lDc3pa9EBcodZvSsiAig
CY5D351HRCf5OauKkFzhzkzpid/lAt6r64zgIqmMovUy5YPMAGus1hdp6gP/lUiCuQp5EnptZ5on
fWnBuu8pZZFj+SG7eLJKX2IXV89G/rMDfp8XfRUFoR798T93eQZ//3tN8+uepzDFf/90Ed1Xucp/
6N/etXjM15EgNb5pY2R4+gt36/DFxh+2QilvBEtuHlWd6jcuvh1J+dXxcR1pgMZEBCQ2eEJ/vB5o
I5yyPsB73RHrZ5hrk+5XQEUcgW+KGYEWOFCMsN5e/yugYh4RYRM4NtqCmAkDt+UlngK1SQJCKQha
YllQcwbNZP8bT4G9JlCaDlEHOCrLYpjS98RTCIK33PCN4AnrPQwEzguAwC30xdz0OuLKSDAbcHiZ
mYPlX4RY2986ZIb8xK6kDK5yo7VPh7qk32gIFvOxMGSZOG1ntF9hRanPIrTyWyEiewDfs27zOZFM
f1GkRj4I9pTNaBjnjhUZnztMYqcLBstNMU5c3NErzuWiDtBl3dC7IO1XbTCswPy2YBHcUMXBoqLm
AqdZdIl7VjgooWDq+V5tVOBbxJVDlRG4QdUoNzD7VVJWjVu2VevUOFCOQuDf9QNPwdri81Q2nWNI
xh27BnEbVBVEZ/zjIqM3VmPfZBFFXgK+Xe93y4FXgScatCpleVsQ/C3kMXFyv2rnUsa1E+BhWPBI
gEPT5JELzbxvYsrOG67+xlkyT6hMz7MqP6vDpHZKH3PPUgw5VhVUDqgJ7hZDctOAU1ZaQ3FBIK7i
DNJCTsVlB4EikNut1bROlarI1aSDaJIM0nPIzs0GVvxNaNm4CpmFV5vV46CqHuyoLp1xVR+nKl6Y
IjtGifYKxuJ5bwjXsnTncIznda4DN4zhG5Q+at2g4fZxJOG/rKYDf0Tkn2WYPDCRXHMr9HiR3kNQ
447mOnS0jq1z3/ZPosK4jooSLGabha6f5b4T1PQ8gG724N5ZNyGld1aVxU5gsweay7OhJzdFz00n
MXnqScmYUzR57ORBdyYj5GqzbRwrl4s0MjoHgx8J5lHj1KX8HFOVepS20Rx10YwW+laC2eUarV84
ocnnVsmaZc2D3GG94tqprBOd0Owzz+zOq5L6emga6tgkXMqhTpzSMIkX9/Wnqo+/+01rH9Owqh3b
Mues4l8o5n8zP3BxhVZpFkQOeIZObTY3Rs/npT9cpkkEFgCeC/8KJmu+tJr6PBXJ1dDTbxEV4JMk
A5pXXVQ6lkj0iVn0Z5rCtEN2fJ7j3ONZBYwb/Av4uYYD6jxyUdz5rlFF86RNlnaRXRJRncHu76tG
8dLRDbi6AbPmBim/WYbhhTb+lIFh79CcnRYNveyjljiS1meG8OdBU+Ze5qs7HrPv1OguKlo/Yj+7
U5qdQIOB87hJ0IkZMgr+mFCunQMOfpw9pKiFJTYEzOFdWnuFpJfw8tTRbfh3Wdmxg8zsEvvoqrSt
eSmS74bhuzwXYHyESepkJLvSdc7PJQnPWKbll5CKykn7FDuGKdMzI63BCwr70vFNSl2WZavW95OZ
7tNrpPy/UyPvXUJw5YTCOhZ8OE+lvqhR4qa19RXMsJUmYNjY8NAWX8dF5KW+OAkLfalScwFhq2MC
Bso88tOL2qaWIy0u530iPQuDawKC1unt8BTcVnIWoUpeqy7x1WnXoA4EhGycDJPBE+BEHKOYf4Hk
WeoEOZhLThnFal6mpl5kCrgPZJ57RWfhtUl+apgRWoawsCAyE9mXkmWDYzcVgKNZ92UoZXBTIZSe
xVZsLzR8glmbGukxYkbvFAWcnuUEyg9Mp6E6PNYGMWIHh/DovjDR3Ij95DkO9k8r8/9ranrdWO53
avqvFIyOhy0t/Uz2U0vD5g5r3cKMg+fNLbLWxb+0NBQJgva2TJiAJijQsZoWsMXXWteUQlf/12oa
CocJdJ0FrQ8KFuP3qGnQ/GM1DUcjQmsIMP0hMgCt50cRYN4Fpah5WF/GkS5OeSqsi0p2Z1ympWvX
1WeaZV4Z6+RY5iwdHsNclcZ13fcQihkiF6IA6bUIC+nopL/WgXWaqyyHia0iBw09hO8TZCyitLEc
qwjnQdKEJxAjMt2gAGUMVnwQuqIp5TxjRVrf9kHxVYR97hiwA95h4KjHboGVddp0xnBqF7ILfbfn
fXRap4nXY9+A6V39CIQcIHNg+ose5RDDRIk4Seug+VxA85ozHNHkghMJIbrotqhJWMx41pvzAvHI
ayrD9FgjpJeTgXhpGmEHUwFWPRJnCav0rAyQa2us53ZXLLkdNk5DcjFv0gHUvq/B8w9le1y1aomU
Eq6W5deqDc571M5Cs/ewwhemFZy1w1rZxUXtROCxODHnblureiYBYSfwDT2DhwU//Dan3/ohbvx5
aZchqAkDokqhQseiqm/ChNzy2JT1SUFDQ19HSJbHEHx0ZRnS49Lulbyl2gQRGdY+axzCfGtBUNvE
ju3bPxK/bk/WVXaLWiaJN2Tyqo/VklrFqUzDZWniM66Nea7aUyOjXj6AR1BKx4wH146Kh1bim0iL
r3vxBP6vCQ/oVgdx+Ldt/NtfZV3bVv6a8pf8AFMekpJg6kGBImXrZsS/5AeIFriE4WBTYiObggX+
08znRyaDHhFCgIOA6dOln2lTMPPXh9iLl9Kod5r56+2JIzPfhJOioA8nbGiALK25Tj68ylUZ3CBJ
1aX5Zd1DEPgixoUdL0GmxXimdZZesahstJulNhgh5VUd8nsrCNtZhbO7BqU5BBKy8xJXX8HuOU2V
vImyyNMGzh0S+xfcti+KDtI7krWLgDSBV6nkPDTbL0MsH0WkOidvMIR0E5pf28EwR5kVO+GQOrUf
Jh7YfA5JdXyha8PpoI23V5FGou8YFGIHQfl03oKpCoYLI1V0ihOqgwXIKwvyDY2gEQQaCcTkfbDu
Coc2xQmLWLYomTilKR+sO+JrcI79rI1r0PFBaJ1XcaS+xq0vvbohGZ43dQNrR9fxGVOSxm4qbNXC
QofkhFC8io8TyZphVlaBWc4yqHEKnLTtvtcUwuVtKr+wwq5dHbYL3ohqUUR0Vfi577G27K5jnrZz
UucXkW+WLlbacoowmpWDb4KxQ2a533zCpv/ZqIYTzYybhmWubNoTq5deY+jzrrUvRUN7hxcUQkj4
plfRqjDyM8jFGE6u64uaSQgFG8UxD8FHqgS6aWrjBPJhM+mXSx4UPzDE8TOjPUaRPgVj6jjwy3MQ
xssMd8s6r76bvboRYXqMY/opEQ1YmezYR8ElDRvllGlxmxaDwyRYXYW5aG11U2nuka49ian1JWPU
MQVfCa5OUwgzujwjeBaLHxLlMyulS9LWszbnC6sYXJSrCz9SV2Aef63U4LGae4WBZpKFyyHPLiEn
6Ah7gDyqdaw6/GVo84sGx46VySVg6RZxO4dk+TL286Ui4mwg9rzW+jS240VBzW/YhrhMpC8Kor8H
OY9na+gDJsAlgaR1hhacdueoUdqphbmsMWQeynhZUXxd9q2rB+OTHZKTNF4jXIOpl2QnCkH4EUKQ
wi8fhaXcRqZfWBx+ys3wRofG3C/sc+giMMd1tjTjJnVoj85bq/veABMuxIu8RKJzvxlOOUMuJPjO
AwbmXdSdtV14AnoYQm599VgxfNOI7qbqE+H4QWNfM7taRLQNl9S3LnobZ5dVasYnGST6Qoh+5QRB
oA2+l92Vlya1z1sEU6qGaG/aKMMtaVt4hRIPfdAtzS7zrIycsyi47kpNvQ5M6CZNmUfK8puOe5h+
hEIqzV90ZdODu+F/G6r0ohVdCHGu+i6BEDgxCINAmVYznEMUHiWycEhmMdcIq84tGkPOcIgufMu6
saqocg0r007cAeJNDJmBwlgoC9J1TZwfF2FiuIYC/7Ts0IWO60UCjhdkgCGDCMoWZgeghbF2RK2u
SohYu9JSZ2CkV27Yq7N1QMDyk3NSGgtE2llGy2WBceS0ZXZfWBmAMRgeblXrxX4PH0vTazvlJzlE
DL0qB19eJmBd+0OnXSOu3dzEwsUh+DlxVJxnUVo7iTbcDOd/a2YRp8dZ4xrZsKwRueiS6P+zd2ZL
duLs0r6V/wb4AiQQcLgZ1ljz5HKdEFV2GSFAAgFCcPU7KW932939dUQf/91H7bDLrmEt6X0zn0y+
MtrDJo3IoehkkNiKi0QKc8ckeRpjdnKC8hA5U7ODnNulbjVfonRzSYyPE6B1mi6NwSVkpC+mZMYu
vRPTcqF6b04Yra5hrDwaNrGUc/tQsgCvd1if0hlTE9XXBbyzlPdtnVAtHmPTyjSueJz4gTNfrIo2
Zx6wOv337v/Q97Yx+r/f/b+V5fz56t8+8MfVD2LKh3yGyxXNtx8q3o+bHzURGAmQTQlBzNHYhYr3
4+bHc0rCeNMEEUQDx75hVj9ufoqKgQAXtcs81Edhh/gnm0OMFeSXix8PEWQEew3AKUbgJf6BKuBE
msBMlFxq1fddeOE0zsKbBDTu0LpZ7Iv6Op4IrTPOCg9T7zzhel4WL0yWEUtt1LjN9aR6B768dY4B
nKDLqXaWbCaDPLdF3N4vVM7Xk/W7C8DF6gustflE2rm+970ZWoYS8PVGG74XBO6h8qNi5wkd8CTs
R/XCgRrGiWPiOtNzB92k2dfEm7O1kcEb1Bvvm0Or9Y4MrJrSmEuVyMVrEmQ6k7VjfWaJIEngijat
eFjftO1UPBAR87upcxp+7wpgScO+Cb1+Pa4dL/pEU3BqNvNC+Fv4ByHwTCQxoN00LoM5UssrwClz
q7UXzW6iNPGzYmXGvWKsE7j94W0+OmIN2qQ3dRimFhaTTmYNixTb/9K/1NNEj75px3zFY+KycIUw
1cHVGbs+82TAM9foODjjetCvhagYSVq+dLhDXWApTo+7Pl0qSSm2pEEcF87CGDO+f7d6gwkPxARe
pkLxZRQNP3WsoOtlIPrxGPVRZe5WEXm7RQdypSnHCxOub4xTyPlOXP3/LiUEeJv+3YkAgPIVbWKv
w59PhO0Df5wI2zNJNgQWuz+q0dkGSv44ErbatxiPqqFoWUaPyK/LQLBVDaFLHUbntjD8fiSgIx/4
PCIxERCmTWn4J0cC6Ms/nAlbfcnWuM9gMmD5CP8gJsgyMqYxkbp23aY8dGWx56UT4Z0xn6fQLNh4
yXBhJ6L21F3pPrbTjRQ+EDPZvmkfQubgDIdm4UEeU72k5cxoInzepxPHUC6cmWR8jBy8w9maObNt
b/oy/sQDXN9GU5padz3DKb/QgX+AigiD1OH7fuk+FdBy07WPLle9YNNWtTnA6TmVregxecCHiKo2
Kf3wkhH/sQywpY9VdBvPYZ1JXd2Orn4lgS9hSJZPpg06XK+8BKoRmrQ26yWT4SdbwNH3KH2OG/WJ
WXOOa4xrYfPgBO3lGM1dCvP2UWrMUo4HCKeYzyHefND9d17pfCaVTcu+3I1uH6aD7i66UD2TCFMu
h+bNA7s3NpAJXhSvYxMNibQNT5xwzCu28gQyTJNRbRkolX7JYX9MuTFm2UTYaz1bEAQlPSiOUcbO
09XcGJgN6+ztg3rcCdbf2dqINKg9mTpkvaEF+0LG7qGelh0cyDahpbyxPtstvD1WMPSTIhxu2BQ+
8r4o885fnlkFyaeagy4Dxg15VVZwbKplyCQJ96Neb7WV4c7jzcl6zTtft+l0JI8QyjG7NqRImYqv
hQnJVVOEBxuV9/2Vz49sEhv8dWaLECnymLsqhKnh9zBrxxVTOB0NzNvoGe5AuUn7JGlUtfdabC51
q77UIVOZGBcIoL23ayJYsW6ZL+NyqBaIIm0r3rSm71il32flloey9682G9uavgR6aNpcLI3/RIMa
xM4SkSQsqlTJ/oRl7dgEHtgQvtNRWe88YEP5Yi1JScmWfTR1KkxkMI35bDZjY/4ar/Ws08CFpuXq
fr/2/gCJqz/5Tk/S3u8OMVM8UaTAzBeFsHb86ECcUu6Vtq8AWh4qV2VmaHN308/w0sXrKP6kqMGB
3I/mvve9Pq/i0uZ1OEGfg2mbeuvk5WPTiYQGzV2MBZqRgibALo8yZlgeBi9pay2yphR4X4TNlEei
83a0VyTBsxncndPQBpPmOp0XIm8Lh3+h5ezfjkV7F2nfxVpN9bEb8LXwcYaFsk754CvI3O56rRTe
KaK1NoHodlOEwQVvXTfrXOEnTOAbKNnLOHqnQd1Wvo8VU0dw7triaJm6skUzJwZXfkzUV39ouqRf
xGvrt10e1kOdOdaps27F62MOemC5fVBmfHX2dEnF+kJK+tXoCyGOg5rzSvVL2hd4GZi2eF02LIUs
/WWx1l4iqXNvO/8gPVgnS8+fnLJ+rye8ZYhUeG13wW6I+2PrtF0Sg7Pc1psH4I7fYqNgdVm87mgT
7mE0lbkPyjNxOlzMpuzlhUNscOnJ9sGp2v7KGuBDAPxEHsZrkdnVOOlUFAo+o6uA35hLo+soAX8l
kiau7rnGqznwS++oG8Fzv8BPHFAR0NxlvVVFx6CwUi8ZWrOm3eLc0V5PmYt/CQJIX2D0gaMFma/Y
mWUUmepH/8Dx8zI+P9Vg8JKJ9retT8+NGu7dwn0ogkplHjGnIgpITtfVVsmgtBbXnfX0c/2hXbAP
HWOAojF91zY+dI5qkzz6TfyIPnSQf7eEjy3B/VsK4H+arpLvfzEQ4KN+DARIxmBBoKgP2sqd4SL8
MhBA/Avw3/foBBaBHztChApZ/IeC0W0d+GUgiPAIaewaKKOkMfpoMGH8oBR+YToQJPm/X/+/n0MV
f0KPEasmwOcpeFx8nt42lfysDpY6nIWgUXPteP3nshrBRk3Nm7cExwZndCLYirtuykMMva4Jdyst
L+Klv5qjFjzZ3OJtV/VtMpVOqsOJ7MrA3bmK3s+VIXkUqik15XLhjkXGHAXI0Bufqoh0aeM1Fzzo
m9Q4+tDUw2vLLK4Hz/+KXWFIO6eFux/Ys43M13ry+jSqIdXDp8nZYoLEW+Sau5PTZHozfIHhjGk4
xVPqLy4cTiWXnVTLDVmCICNlc55sgF2+HJ8poOoMfNRX5bITePsu6y3EjNIMddKWNAk4GHQZxjdr
7H0yxVrCB6hqQNfOnDThiF8yUaVr2WF0b8sCt82RluNuCWGG9yCUEjLbp5WXl2Moz13RnTm+pkQt
FWQ4Qu7mqs4Mboa8luSy8MhDsTQjnIqpxVlOkagYDKDtGhOZ79NDS5cqLaLuUxRoJ2XuUk6QSkxf
lfcjEd0LsMCnZfXn8xgN15CcsO14M9jfXr/YEuyXrPdtNzNsOgFu5BmuzUQLkvAiuuQleaL9QJOp
mq8d5rO8rqc1I8Fa5msMzavUsbN31HRHHf41aAq1B4KYegALz4q9jvYV9OXO79jrsFC1n7S7b6ah
zHU3t+op9ri8x/rY1e9VuX6F2nW3UhfX18edW2seRa/aE1cFXt9Hd5TuwY5EXRNdxNc+XOzTEhep
H8N7mUN2GGHaJy53q5T78XJFxQplr1LtvAe8/WmWcxZWLb+kVr33qyEHV5Uxlj0W8fVfG/U77eQi
LPTf1RDQG9NfsU7bR/045+CihnHgwrlAJupDuvh98UGIGx0c0EeiwP/wQ38752I8dBmBM1gTcRBt
7Yu/Lz44AnEqwX4F4/fdVvkH5xzZVqhfxJAAZcweHhUJR3Z7UtH2kN+fzzk7FyXA18K/rtcuXI4r
Uy19M5yOxTWgStq2lw4g/kNUhE3qTPx+8Us/qWG8YTye3MQr4DYg41LnUzz62RC07sGda5FFlup0
MurVW9YynYLqde0Hm7UUISg9MAiWJZjWQtyIHiRhWYx51w5+AmCoyqNldQ9VzIYMR1wB4L82yey0
Jud6bKDKjOdJdnHihdUn47Hbiso9a1qdKptJs+6rHqe1cVvwNULdruX8pJg6YtALkqpRALVHIFIx
+Mqk0utrLPQtY717mFrCkrghN8QdAU34q9oBYZYZKRqF9ED/jRbl6yRworZOCE7jHctJkCFBkRuH
llnTyktL/E+dLLtkwNZ08AdkRrBBdmndAZygCsfXGsU69Yw907USOdHr+wT1Z1Lm7MXz3gthynZq
P9Ah1wg5EOEZcCldnWpD38cYkZa5WBNAJmSlF3JZD2uA6MNUFvBNQ8ihbfUQTY2EG9wdWqTPrBIP
Texk4yhvO+2euTMBUKpA3gbtrcGPdGp9pKVspeV+dLxoF7Hu5AXtmxx4kyLzdgE/6QIcvEz9ppDs
hKtc33rW7YoXoZuS5ANVpbx11nHp9q0nF4zPtfsMHxjKNTP1FxLQneUA0CoyfYkHvgtJXKZzhN+u
pvkdo/+QisHGSWvsYVz4lS+LKMeGvOz6kX+bHaZx1SyfQRE+jKu99Yz3grTUyVXr5woqesqCgeZh
6X+tiD3Nbrm8NBw4HpgA5JMoFt8NGArc/iACfQtI+ACwyblAaudhqfBlwbwHxFJG14UFWoaj8ZuP
u3HiY50ENYvzkS3uYQ2/eUL5QN7HJzOCd247n2QN+Pu6jOk+cCrEaRBM6rwAF6+B0K/4l7LuV8A6
y7qLZtGlYin3xBk+V7M6KLxtUrmhbcgfJF04rPlY4rr1wPba2QfTo52bpXCe9eieWEe9TBDxGBS8
RHqBhMlQLNAFI9zvGBLCOkzZqE4SDl3Cka2Y+ihIOKu/DXy87lr/1QzFBWtWgflbXCHXdu4oYACs
rWeJIEgCjdSkAiC25hVPxGjmfW8B+Y4cQzqJ8Wy1Ovq8hiqHF3qEIveZ1rS7Xx2GNZ5HiECR4DF0
+L0lDiS7+bnnfnXseHxcbX8uyqg7F2p4ZrbYg/i8dxg7chpdO/Fwy1323vnrVdvqQ63w2lzZsmad
BysAOao7Y9S+BnpeTtVeCx7ntY1lgncPexnMcORETHdFZOBmyGbX2vnMxqHO/x3hv4/wfyv0/0/7
+lXpvxjhf1L5N00PHj6U+d+I3N80PQ+dcUB7cZ/8gQ+K/oPHabl4NtPWbIGs6C83GwHeC0nPhxIH
CTf8JxM8Vog/3Wy4PQETeJBtcM9uj+D7+WZTXbDWwVIM125DH2qsimQIzq0/3NYWqsK8bZMgzebW
8w9iWUTWbhtnse2eo52KxO27HhDlPGVI29y5/rqmvAOyOvsjS4bVg7S2Le8x/i4ZKp43UB+OcakJ
zOzmXm+78CpVlHjKXjo99uRW4hSYt93ZsQGs8G2fbgzeM3qc+ysXy3YIdugStrq8EJvTpxjB0VRg
eiTbmj7AgY22zZ1xXiarlg9cRgB/tvXe1cOxx75fRGOZDzUiOaHfviO4+YTQm7O9Qw8KaoGzyQZF
P1yum5CwBuUbtFWR9MG0pBpqg9RH4V14mwLBXzVNx7g8KFWU2bw5Av0mWYRLDWS1sWAU1qHLOygb
84oNxo766wTNwxu7GRcUviBtiuMAXWRx4MEvMnfWiwmSifWjlwASitq0lHgJ4LhAXgEHfFNteotv
IsTXrXddM71pMVPuRS5+JDQckrEsh2O4aTeIst2RTc2JIetYyDuDjJBk2RSfyuPejmwq0BAa6EEM
WxrYgzFvNrWoqGdAxW50QSAkLVPlJwFMDhFJ6IgDpulNdeopsrfRAB8ZBKvNGZIwebnpVOXo0rSA
dFU6G61bdfveFaehDh/8eH31NsWrXepkxEQvDIdFQXidwNPAEQ+RbHYNwUHdn6iHr2WFkBbTVqR1
4Un3pvNHeR8VUFAjPWDTUderr79UalZHYpwbvMBfY1WpRItSnnjtPeveXGqE+TIn8pFOn+k75NF3
Ey7LbhgtJKchKg7I1721eIsmCp9KWgMn28HNug/Agp/byD0ZIT53K5iB3gMopfhezc5Fv8B6GcDO
7May8BJVF+Cuh+FqFCvePuaBl8Vbz8PoICkSjcJp74uV8sSS6VNPw2Pdj7B6A3UCrtVgw2PtLhrk
kZXBo+YuP5lRMgxm6z3+zvmihxWHgJNSuACZTj/CbEYjlegBNt9RC03MZQXLvML/NCgBtXydpmQY
pDwNZLKpdQBP86Xqk2ZoxnS1g3ou3aI8SM71jWBBnMwUnhgssl00gYMmuAbLkSM/JKBAEVXhB9TJ
vGgE5L+qrvBuH8lxqDZBUzCeaTId3TVyj33Ej6FXNHuGzyXpGcUVvL1LI2RgBjGuierlwR8xZzgs
EwpKmhAjIMDG8fBO82GruwRsrc/DLC6HbPQ9ICr4H8cPbkQZJ2owj54V50BPJ0WXq9jX9yaE2r0O
7Z47MOdli9lP1t4V0PTHSkFTh+Fw0/rTbY0ZN6rt5dCuz0OBm7xG10LSKvHEDDn51j0sw/AwRsxN
+km6iasUxahrL+qhz0NXq127QJkn2l4Wmt7WcmlyO3t5SLoTmSaZLMOEuah4qZBMgH15hYz6TS9C
yA9meCuKwCZTvT43HIuz30dRjkDey9CGCOpAzE1G0j0o7p+t06ncNHjVoJRgqZ/oJEDb+0zCUNmU
O64Qp920vH+v8O9XOJa1/76dIhQ7/pUIhw/6aTnFM8UZuixcCuMVRN3Py6m7XZx4oEOIdXN7wMv/
iXDbk/cCD+1km2GGa5r9ZNTjYW2I6YPLDQKKJ5nH/j+6wlGE8qfl1IPKF+GzA0/sb5/fz1e46eyA
dDKn14P1Xby5zXFefFjGglLoGP1OUTLh+lw+hdiHsqH0v8DKvhjx2sqCLYCIJIEPC4efR3gkiXQl
lllXJ9HaTZkdzJXV2DH9WKtUqeltieVnXsFkaZu72hd7uYwnQsld3+GOF/0yJXFHBvC15EK2gOhL
J3wc6lgBjmtHRAOLx1WJTwFyzzhvV5sy214HJb32ZpbHvTqFTX+sg5UeV1NgN65JlBpu9+hIyUnU
fQNmfDfNZXCScB8RTHuLKpBfw/pkASYnNYF+TpExThjIr4x2RepayIhhx59mb3qpIY+nvOYHMimZ
dEMIYY0Dchtx3qZVR6/qtj81NdCdWetvveFeYh2FE7OJriuEMNK57K9FYLqTbUfk+Src+mGrakQW
NbZltyyuBqbcDFfOyhKkdL5FxNRXxg+/rBW+uV3R8luCtGDCB/3OgfJeCtUcg9jBIUC6Zc/lEF0P
lW1h1sz4qcEYTXSJ9E2NyR0JYskTHMlsXxkInkwjbOnbsLx1S+rt106USV9WyFVICtdinrE9trTM
3aURB0oR9XGqiuwF31o/VnRYMAsLFcfcoS0KL/PsAh3OH6qdj81158+0yXU7kv2oaJtLKi6AI5/X
UVwDTDuOS7lmVRt9K1ZAlCJs/dwZKpot0yJyrwiXfT2VTe4KjtSQ7y3AIvt4Pwr4KcLqaR8TJD3b
UqPGAxnpO2h10X7qAp4jwyYOrlsUGcxmmgyUOrcN2veTdsVX2lvGkgoW9S4qgTYJkBfJosoud5C8
RpSyrk4Brsx9SfjDQoabaXJljujMAuSxe1PNgBwxZ0j797F/6mIcxaW3tdWs27eoIvJlHgLxKBEz
TwYey8MyoZqHWESFsNl710GEqZJ3K1QRfN/BUjnTIZqhKPLZxxAcTtXXuq1CMNVhkZuydQ7uKHZT
0ORFIXHLInCatLHUCUSwNsFQMiWOmKNMd22TMiPY7eqB/bTTHZvbOh+gbVSIvTVXKKoYD8gyfxvl
+oacE9+NHbCbJm70ZYVcakotyxrdsyNbZiyyTmj2USH9O+JMT1WsRidzxwnbJScWsZZq6r7M+KzC
1QHPxkUDMYb3e6daHjxn9iBGlCyFqnGS0HvyeV68JDYTqPsBERRUm0BvKfNKSufk+FChKH00uN5T
8P4PbS9OoZA3czikjhNeDsFLEZLzpJh5xlj8PjPAqcgkJRIibhbN03wxwRQ7xPEooDVBLy9r94Lg
X+MdPxvjf+uR4YfV2Vy6s+slJg6f1ggRvUqsETTv9usQAoBBbcNRieUWVVcXENIQseOGZrKNsB1X
CGRZw4PMLsompsI0pPHH5QAvIRyAgi4LfoRe315PTnnf2OLFVdPnzsfxELmdycJan6vZe7U1Y1gc
KCo/BlXuvMlD5oCit8bXuRED9okVZnozmEtIW58mdM5moePfxBbJOdWG8gjgGX9ydOHO1Y1JuxFZ
P+EeEPeVqfGLnXBVf13F45IIVDokjo2z0er3oWAQWkyVoXGDfQbm3wa5kvZSkvGL8sOjnIJnpHyD
I0jVROj1DSEsNHAoe8AX3ew4QWtI661Zw8IrLnDKxMrBHAOuOnZUYpR3cHp2WOYeCkoF37mab2EL
XTRkwCRfNW9jFB9CSa+8sts7fr8v0byBn2lqGw+/Dl55VFXpUE3fhiq8QZXPmBu1HMdNNZs2RdSv
b9GW4OAumNKGLmc+NrctBDev4g8NBDjO5CHcFLkJ0lxTjelEIGjJYgiTFvJdgTaYqkkjFzz4AHkP
W+57MUFFwz3mLPshIkOEvahu0pLJO7fS+l9547tyT/9Wud+eA/f7U6n+LHNsH/1jSPqof0NEYJPH
P9IKvw9JoBkRIUCKGZpFuLUz/DYk0QC/gxgUpqHwR/rhd5oxQs/YZlWyLc8Q/CN0CZ1NfxiSUD+F
YDakAeSwXPRubb//U44htoHT4fn0/MrBYZIFG2UXIWF6ZBt5B7gIEN7Yjwj3MmziYYpxA55lMfeD
eFxELfL4A+WTG9Un+660bsI22s9+gH9w6TYKsLRY/kliG4OYRNJ/5wXRSwV4sP4ACYEsalCF4wdi
GI0Q4HUwbjyIE7osWctVPLSqMY/+WAqSNjAt77kXIb1PhOC7rmvyFe0sw2Hh6Epogil8kp5xpmSB
HPnUtTFkRhp065L6Et0lAKV7mUKFjG5obbrPFCfzZyfoMDOgKwN9OKYpruF7lFHSRKK6XIc+Qq1N
scI9jSpWpLEiR1m6bdpSMV2iZKm9Cpk0d7gSeI6WEOJD/JZArZwiQGS7j16IbC1KPsZYrYnRE0Ol
VFQFYSq8JryDcq7WdB3b6tDocP3SElRB8dJHqild3D7QCBrHgeiKxKdTrY6RoeM+0PiBDFllHfN5
rBCLzGtTmNwX3sQl0gIcjCV4SfRcQD6ZQTXEh7iM8MeWTpf70B3X20Eb8UJjOdzG4RDuRIOqNBzS
Pq6qubuK6dDNSKvju3kjndK4eYkijzYtCzX1UE9R/XUdVUR8rpuBPNh4QvIsYVMNcUy6VXNwqRxD
MN1dIY69p4U9tWHlz+9sjsp3uPDhfhppsWsqrvqkiglPAMEtiFXoMKujaniGftzp695B4JphH/53
q/u+1QV/t9WB0Ro/HhuAx0P8+dxy8bE/zi04jwEegE7BVXoeFjicC7/Js+Q/iGeiY+H3De53wsLb
dsE4AP7gBr84jyEe9olrHKHL79pt/E+WO7Tl/eHcwp4YQqHF3wkcCxnTP55bbbjGG4l93ZgKDQep
7pV7aqznnyT2KJEK1uKAKjF6WOcikuCXRNDCCBQs49KB9TiKB1uO5zqy98a1F0sBKbNDzDpB9whK
ZKoV3Vzj09wuV2FLj0HFgDsVKuk3KMBa+CpIFFiQGtUKXqvF+AwvFEGTMLZ7IJnfaFSO6fwRI6zq
JUVRCcl17fTw8PzdJEQESwzTBzytzwuDyjE0/pJjwGkzV3cPPoNO5U8OAZtYprRb3XSZx8Qv0VSg
ZfGpib1sJACbIYNlQTW/4Y2XiKJvs8ALv0BbqVLDqmeGHiCcx+xIbQRjB/M32q6eWenvoxDhoWKm
Ow6zKKFDeyDMBJlREWJCiL4uPgYlLFNviyre2tFeu4r38LTGz5UbV2nr1/u6tkdM/RJdArPOtMHE
hGzU19L1MU968rlTyH/AKqJZMY3vrCDr1VAvr1UXFGcMoqjbQwQnwTydOzLyQKSHOvNR1pZWATQo
BVdvP8/12Qt6A7wKVxEGNz3uUBqYrn5YAQwLFQIh1E0bdLflEQflVcYrcAwih8vFjWxWw03bRZBa
swKUfjpCj0iQpOPY91Aot7hVkUt3qM4gDJt9FM/jPQnM+gSZnWfKRQlTjTj8JURIIDpzXX9WGoIY
pmT2DB6xvRu0199wRqpj5Gl70ccFKLmlUaeNYMcC4/viophlt3WE2YtJr4jvr61bvNmociKU2jj9
URL3tlaxl3M+d4/ugm/8vogIe3GQmfrmRyAT2y0qO4/LlNdIzy4tdP1hC9SaLVo7aLRvIWs7wvqy
yN72yOAOyOKiKC1OnX660ltMt9gCu7iXobRtId5wi/P6yPX6W8C3b130SG6RX2R/US5XJvUWB5Zb
MJhtEeHVr4HIb7HhcAsQq48sManuw+/hYsSM1RY4xl5rnmJU1B0Z0Af0MiCY7ESIKA/IKtsttIwG
s8xuMeZ/D/OPw3wDzf+7RLeNoT89ou7P5/n24T/OcxBzKLcJPBTVIssR+RhRfzvPvf9QZG3waAhY
a9gRfplDMYN6CPG7aD1D5AUf9WMO9f+DPl18mAuhLvqQ+P4BSYK/51eOBDXGwEdiRPHxPMDgY0r9
aQrVhMKHZ2F5XaKKYyDnyuffL3x0KP01k+d/dAf/XrqKARxCZYS/CKXKqFbGF/XrpNt6yo27ZrGo
FcZmyKd4ZwkRehe29tJCJQDwhIavPdL7ImdOp1HSMUbBPXhwaMoRYmiXoQ7jAZNf0V9O2kG1ZTuh
O+aSMcdF++UwLWXmdl645sPs5qqb3e5Qc/QfamgBe4sheK8VoIfZY95ec7/PweiKPWUd1EXDbtDl
Wu6RkHSzSZWIKjplQ/IS8TpnL1vYZPdSr/wbWiTNjnoV5CXYTK6TI47iE5HGoOPd3ENaD2eJ37r0
fpRdDQuht/3tCOEMRYnrbnU8VAta/kw7tB4CrUjg8GEMj+sjNf3eoNNknpgHQNu5mrh5Cmr60MfD
va7Xi1KaJxYAX4xYD0mx8i967aMks7/gXBy9sqyPnp4qjPvsPCNTFLltBCBY7d0Ka4FboG9ULScd
uJ87IZYUaUkEXbHX64qJQyz5xWTdN5AH2IM7CvyiQPYharx33qgmW+I4XxQTyRjjbCqhEu1Ga4O9
pMV6RtThbApnb9saxQhVuQdroDN0g6Xl2uFIrC7bOaB5QX1Yorzbr6s+Frq621jJvZDAdEqnPup1
694ZPOgfVueat/e4b84cudzEAQD5BQ12Q7rock7RgrezKDBDow3uIWwlmHNl1sKytF1/OfsSoonA
fVmjZRAoKoj7UgT3gQ9WkFp/OsCACrDGxwTlMvB23GW87Bms3TLWR1PbZa8a9x0zwFevDaK9RvPl
mcYIOqIsMKhuOxm1ECX9Kki9ugXI5DmnuBYeFn73S+1wYFjO1eiFj0jT7hteoF510XlRYwSgqI9t
o1sj5S4WJBO6yAcPwUw214e5IftoHknWU3zjAxkeBtd88lZ4QR0Yc+j2L9j1LpU7UshR9hQ07s2K
v9R4Ek2YPFl9D0Kl80oG791x7PF/2TuTJbmxK4n+Sv8Ayh5mYBtAzEPOkcMGxkwmMc/DA/D1fcAS
JbKkkqwWvWgzLbSQRDIyIwLAfX7dj5fGfNK56SNLIRyVznyA5+JszAQ/o20+1bO6ihgwBiaXvnO6
o5GnJ8Cet2GQqEgZKQn01H3FJfS6lJ2QZlNPrlHg/jFu6mg3IaJ42Eoxl0KAA//z6Iztk5EO6zFM
R9+MwltjwE8qYjax+RAfuzLdmzYQ13lQr5USPeK4f2KlxJ5dbuwl1G2Ph9pVDrBlZx6w1qFO3G1m
8SRz7NbXSxWAbm9094ZMDvx+RzMRb3qvJKtJz+KVWzbRRtOr5JIbY7oblVx7LaVjv7TMHw2kxSkA
NBSk9yMRktWIQrQ2gOiiKXWRXytgKZJsgUnxmF/VGnAOyWVxGiozvmAmA3CTsRFvvb6yliuM6ZxR
1O2GtVMHzvtsOYQATOuqtKiSQ2tdYOsGrCUrzK+Gix0s0lOyzX12nJyF8KWZ951gl6HXaFvhUGE0
UJMj4tRDXqXo6ZKd/ACKe0P+4sWyHhI+eb/uFQLmY1vg48qsc1BFvNlzFWPoK9+NMElWVj1FXHLQ
iQ3zUYRVyvs4pdtwCk8JOhvs8+Au7cr3fnS9JEDkTJhl4Aw8BBafsl69tX3KUT7ZDUn3zW7kTWbO
ySaEaYBqn73i2NlElv22AEx7B1mR5MciRiQVcmfhILZPpzbAVYfBN4GUltTa19zqxm1Vm35SDK+D
HmxZplaM9/0b5IBN1fAxp3KjBfazWrRXkKfPplrmK3dMHsZsOhWu3HW1ygUuk+cwmvax5BIdx/MQ
5NswD6CEZNZ91803Zmu9jpF5KeG1OsbwLAlnqZJFtj0PG6C63CxE4/FprAsrfZvrGJJjYm1BGRF4
zup41TnxPmzHaB3pBdxx03pQZz61NlNRfgv7sR7iQ6dbiMmxABUXHeuABYsSF7dxPHe7Mgmfzam2
V7qA+p3ra243vtKPZ73gt88j++T09g5aPiYL89VFvQ0AcVdEoHHL79IcLA2+CPzU6RfgFj4sLaJi
s2TlG3wRXXrgvfbjeSxWkPAPRj/dtZXgxzTaA4zdXWNab4Go9oy/UJSHB9bIPhnaecMYzy45jm6F
MX4LhGTDMBdvwiAzrs3x2TWzbQ3/Oi+6mVx/uRtgbu0cN59OHEuRXTXm5vjNCsqjaMDdaVrZbYoc
ubs0DHkrNKyRwOV0RuPmpRARbGjh3OAjK5Eh6vrYqnYISWLMN6ZlfcTYXfxahMqLrCy+L4hBnAIQ
VnQjzr6OXWz7mg6F0peTdgYJHHz7aT77F8EAztM/jTnLCLLgRzRyw6buOuofs8Nqaqp5XgTKJUme
rPSauu+G+XuQ9E/nnP/0Esuk9dMkNfEtttKelxA1DhT7pq9uxuT23/8ay+L010nqO0VFmMyGumXq
DIw/v4am9VMu3Ti8EfjiHftmZnExPkJT+/cv8yti5fd3i6MeHjGd+CEK6a8vQ/fBpNvpEN70OayQ
hLMOLGulfuqNWzmoK6ttoJD99yjxNy86H+KfHyX8z+x/Lkwzn/98iFhC9j8OEZr+G/oBidrlSLBw
vX46RBhLmTtBW77gvwdo/r7x1+iW4/AgrKUpAI2Zv/W3QwQdhJwrbJIylqUjKP01qNevX/0FPKQS
BHZhBqCdG1TS/vp96YI+abO50G4LFjwijU92mHr6MK1/emf+xUVMifmv3390coQn1C9Cx1zNoOx/
fSEA9in7zlTemqAh9h28ZGNtzv0hB+JDkDHkrixttjhdeeNO/alOqydba8A7463yJAP8Om3U9Dg0
pstc4dLlABpghQK9hH+aF9lWlcdEhSt7WdRHbfZQ8YKeVmW3pYjxsIKOWTm1VvsO2GNPZ8fMEtg5
1vnouVgUvEIFBeOaFsvttNgE1rDRDLPze+I3fpuObCqNZ8Wxz67Ruyt+zZfIyEqPoO0DQb97JR8v
imJeulgMhFBZfFF/sgeIfJFBHiJHqE/4cmEGhMPga4vrtx+6O1OZN9Lon12n+dRC+y3MJ55SpPJS
eDo+PQW3ZhMcLZjBG3YbO8sNmm0bNXxCTfNUWuEudozQy6LoiDHkvZBRuhlymJwsItj0lmPFw2zZ
NhM43Kjd/MaddBGCkhvDQeOZMo41le7XPFt7W31q2vBcjnm/KtXp3q77LcLkjoQrlEikG35QHYwN
fRVepJkPylRlXt7Vjme7b25H0hSeQV8zwLe9ka74avucgG0+v2RLxvSbAzJoBSHmrAw9nuYCR0VN
MkC1p4sGr2eciCJIICObVM1uAVwnG12X2zk3zmEYhKtONbbuwHsbyRQTtGUOflW7b6iZO7wn92Ux
T74+t1cIqhxggB2v9C57aGW/V8108BtdfAiKgFahnK5ZHJtUEcw32ogxro2SAS5z81XNtK8aA72X
juquzNw9zlkV+7/cYj25y2muGGnVOdn6XHhWVnzMSfUS2W3ESaB8xHif+KBAORL0+ta2pach1LNZ
BrvMVwyzniGjtTpG9Zci4aS6mR2lmzzTGhu4luBcBgAv7HN2hqwLX9hyozpyWSNzaMgyE6fYpHoi
IN9p6F+lcPexqW6GuWwwuKXVcE1NfVl2S5U53IwXPz3HLD9NtL1OXlXFN9ItYWan/kJ85F5NlU+E
BWikWMJLvo3YGwak3bbDGSj9UkLoVHITo4YcTk5DGkNBrDXjlM1yO8Ss7kP5aiV2y8GhOoexCLy2
GomsLJzz9lQlZMu6didl90KNB1FUN/GGRICDL8+pxSWrF+ktFtljpij7OcOXEoVRtJ7HCQfRANpG
skJLJPPO2Kv3UWdtx7L7TAmWeCN4rsKqXmSzxr67j4wGAr2ymyz7y8jhYjan1LMz6LVT9pYZD4Nk
w9X3h6oEpqQQbCgaT9sQLIbx2RF+1dcScOeg6ZtGjbC4zNWw1e2k2wgV4084GG8LE7cbS+kHChs9
Q1bbXi1uphL0cJlgAJmMa9cJ51wpFF08Lkpr6HBK2ZVazqT0H26jvzqsuWjwjKkGyQugDUScFsLb
z1NE27a6EUzWdCsnz14Z2+AwPpTnfdKtlC/Fc7VGkfCCVXAk/ND7yCT7f//6fxhifn95l/UqTBht
qbn99eWboDcHxern28GGLrZ3BXCk8U1h9v/rr6MhktmqJixD/HGKcTueWTG8+Vs1PtH1tMqyTzfc
w0D8D6/z69Pv97eT95NnoIq+haX319+nJklv9mokbi3z2FgEF8lWG8///ncx/tVn9vMv84cX6SMh
Wo1I4+2waa94gtfDTnx1IBuvyjMIpXB1j3Cyyjfa7uni+NnqMpzjzbVdB+u75CBXO/YEp87nD/rl
hv+sr//+59OWkfCnyfT7h4qGiOnQ1Am/fc/l/jT9ZnTmkCIS6i3+uktwJ9birD6HB2pmyJz70+rw
qm5H71Jv5M40vfxIruoO49GGGKr3/Uf5L9Bl+QL/+SC5zv7HLxvSH/9ikOQv/hgkUaMhuZKvQHhe
tOOft4vqb1QGcbYgkI10tci0P7aL7m/MkAaTp0bPBIMm/9cPNdr5jc/eQEPGzw8LhKH1r6jR2q8X
kylM9GHkcGZK7PQsO//wPa/DAF+EOpD+MMqrXOzfAz5whdF3ZSdtc0ujEyZxHpYvplEBpTMz2NK2
Au45x7rZKkNxmEOUHArsGh51xjPkBttviKJ5FR6NzWzgksyX7hWGokUV6Mt1HbjQ1hdbe4K/nc4a
No6jE7FptJ9cPPA8VYqNBUVuZeOP54YQ7hoc8108PgeSNNWQVA9NGXHqU2J3p4rwo8BvP+riiAXw
Al2P5c9iyRdNAtHIBHZX4dfPZLydFgN/iZMf6Mdr0GmHzqpaOnH6BzEAiwxr+oZ6if0bX+S7xRZz
1y0hgYb+nY1bjp9WaX3ajpv4OAN7vyVb4I76S6GVxaHqYV3SYvhFG6K7aAkk8GN+uEV+k5qYyPRh
od1ZZXkdSbitufUAoiQVbRKBxui1CUsMUQGAClwnnxaa2bjEpcus2hoEqFGI7qWVhjtWkg4in0kB
jpxnP4kVa90r440dSbRKQtkx4WzEHxQjTS1xNjpgr5YMd0KYOwMOiazyRuMLlRdL3htt6WZeEuCO
mK4ODEbndmzZq1XdOGNj45HoniKl+jb3kYlHnX1Bm/RUJI2Y5Yw5G7d5DFYH1LW7r1DE7vRUe8LS
RViAHqedtmilYaq/zgJyO1KT2z/2VhZeiFlWh1nkDf0dSrqrzHItE3GvghNhyHCww8CVgfoeXxfe
DO7E3lnpCowLPaTmq7IqZM+SejJFKW/DJAg4IRMatMQjXV+4MhIiNj0Ho8xCvil4i9k1B8n4jMT4
1dbzU6AkpATUusbj2+UAMPsvRt5CFTH0V0XL3hivQQSE9nZyDSThKNlpAlqNXbb+CONM0fSCkI+z
mYrUHxObmE96sgKbjjiF08qEtDgX30RWOuuhd6yVZU4Y/dKQikQl+VAt5cXUMBxG430WdadpUB6B
GL11PC45JLjIUMqxHpuL0IOnsUiOk8z5tALtGubENKMmeKSb7Ah5kfyLFhobvWJuTR33UmjGa2DL
J0sgQGZhlpD6YKSmi+q9Ndx72SSXsGpQAJeAlD3cSNW410GwrfIgvmvYBkC59uDAHkKiSb0lj5Vi
vodTd12OK2FhYmI2b6J43ulNvqoEWZK0nV7M3nG2Sajk7Elw5nGbA4dQY0miXWlcBfRreUPcvDRt
ftDd4Zzq2j4S87UvcAUPFNh4tS73VWMurXmLP1rJ7jERv1PDhuMwzZoVku92KWxZYwt01kFXQpGM
MK3TeLKbDXhHSZUntCBV3tgSXtFYYix3XO5SUERTY7gtAbWtNJjUm36Y7qh7IEBKzlXwFnBPutMn
65z07odpobBVtvWkWcaZ/Uni6T2m12GqWJEvt7gmmoEviAfNLTaZDbhRq9p81eJYd1Uz2+VgetSs
A7uUd5Zn8X3r5/BBFca7nWNsDDXnDBw72Iahomw4v9+DcW9wa6cq/UX2u0Y51lotMtANVrWedGqs
8lgzllDvJsVY2XRz8JDU7MLwQD0W8VCAu7DjjypSLhZFPGugzvAh4mcZDTeNG+1YqHybGYHXHSQq
HMsCB3ldQcdsTYVQeDvnzznW/PA8a+G06qwB5qpqHk2neXSXNEqz5FKoMHwD2elCgBp0EODzSwBq
dGUP7bvVKbU3980tiuIlIvCiE3wZCcCoSxJGL5pDNmvrNDSydd+ZdwRfzr1LR5m15GgSAjUOwRoB
PRSPO1kbUwaCSb5/1InhQLw9UIV1TZZ8TgrOhJ9mfnGX6E49XXNT3lUyueX7wJtAyCcn7DObuCK6
xfs+CKpBlkTQ6FL7QERItdoDlXpHQ4xPhYZ1hSiRRaSoYsuCk4Orekkb2RlmtQnRnNIPFm/xkkoq
BMkl7rE+sM1dQXCpWRJMNlGmMLEgbSzpJnPJORF2IvFUJft5yUApKfVX31NRSz6KfIS2x9Uc++6S
niqXHFUqGngAS7YqHJEJlrTVf6ey350CaLB/PpX9blhdaJH/PJYt6u2PsYxMLlhLfF/E6Pln3V/H
MgtNDQwFTD0ObYh4P8Yyi5JyeDeoYiiC30n/P6Yy67cl6cP/ZGELW1Ddf2UqowXgl+meqQyxTcX7
amqMZZpJxPfXE2M/mSa9dcoFbg5QaWaJmGu4yKyC51ZXblJ72imtoXtJlN9BznCXeyzMuprmsakr
/Szp9nOjwsxNemBkllUClpkCv64dCaOhfQfJeaVq7q0S9XkCOkljr3MigdCsjVKugkp/YkMLqCBP
/LDL7mFlUhZQ6x8WYQRW51Rd6eLOFWzrpBOYxC2bZzHa3yDIjZtEVg85OXxbZUE/p3O96hWsArlb
vxg9iaJYrQgRK3KTUGmJnqRs6AXqV6rSwIhh9WsEkGzaPj9Esy1j3wxQAWZpJoofjMZblQ3KdJfI
wRk2uOBkTr1O25WPfZ2IisIU1aCAh3VoWUqXBgDMDRQ05gxcve3Vk74ezEKuUiW57ZOJg3CBHlZS
9NOL5GtngxoVBjeIGDKA3l0w4motlLdgkmz63B7pciof7JE9lZprb0nWQh13Gw0sHACKFjqFFbTt
oRbFe61FScNkEJVizfOfvZqVG7CiUzTTIrJNFi/po2CviMw2rdoR/NwojJeCKZz0SHlTces+CeYg
j2I/INfujR5W+yIDXq2225wVbObaBwLSL6jYTLipPu0xDdBEaIg9mB38Zvzea72DVxfgUmJ7B9eT
n+cZu158IAEB+Yy3b+WogbL44/KbwBGPmZMNm7xivHMtm0V1DN+B2HV8TVsmozULevIPqgSzqE13
op1T1MGW0MAy7DSVeAh5wgY15X1zo9+AbqTAVNvVLRDlxN4H2bxNhx5I2dwiNYUkLfOb0R222qhN
jHuDZ2BcbIG5RonJDjonJWaXj6TG8cc511wBp+Q27W7sw8eqmE+NjB+avH+JO3Wnjg46URZVnoWP
mLWnvh3p6UERsrXNyLrUKkrB2E/CpO+Tz2SEodLwsylTaK4RLdFpNboBZ3urz+ab1lAgVQjYDn12
nsPgPqeDYT+ZXXjSFeMBIsd7obR0vT42vaoCSXHvwijxKwJNRTUfGku9CjeBIV0m2zZuYBEi9pS6
fo7b9C3vw3ir2Nam6iaWmHXlR1VIn48CKwuW+Bc3YHAROSRba75IMdxEwnmm6fFYtgrmtAVXZb7r
lbB8ESQPcxgtk9xz3UiIWOo1q4W6FhpYEFoNvThVLoFwtwkU9J7nJeD44n0IjHytkxFyKeFb6UN2
zDL+GJ442fUdQ3G+d8L+RCLuyJ+c1+Oo6wd6Y7tV6iC1boDBTziVKY+9jwQeJ5Td8DWJocabpJmw
vXyblXaHOvraunIj3QEJkx9Bd954YJ/z3lA80sO+roK+7/RdE1Yvk81gr+VovdKwTo7W3ztqneH9
kJnXNPpL3Dd7SUN2pgzBqnSMOz0J94CE7rQCk+Y0D2dzkLRdmcU2KBpn7zbVLkrtbeykz4mWnkLR
PtkF9iPOWrDXDZ8VwzkizJaK/pmV8EMT81nk1fBh5FxqgkjVoN2MWd7vw4mUVRIPu0yrj7Wr3fMl
OZR9xhXW0CIUiM1gYzLs++EFw6I/s2HYDK1g/yKpVlKPii6IAkhlb0zGTjTGpmvqfT7LncSGCjLy
xJhCx8981w1px2xRn3W9OY4VX1mHpULeZk/00r6l9CyBQNx3jfHZGtUhKq09aYbr0MYPptM+QmfL
VqYFDNAkgD047ylLajXvcfjS5hxozWnqCizDGleYKs9RmR5j9tNjpj+4GeQyWnthMNQYJClOM4Z4
Q4nwjZmXx9h2vv13Nvk+m6jMCn8+mxzjImz/eSxZ/tKPseS7d9HAfahC0vueC/6Hd1H8pqusFn+P
wiw6zj+mEg5lS06GEiILjfcfW0fSNfaC/7M19oX0mEO1+gtikf3rmnqZSnQEDHaO0MotHcXo16lE
DfSOtYVtXqBw6s2TRvEDEPliylUfwF2PJkQCLib5lup4oq2x3rI2vxOKTi5Wpwq4iTEeeJ0tMGpN
Ds+NfV42sz/ZA+ft3mw54+HMOJA6lVAFsnJO78o8fQYJd8/Z7G2UGpQ+Xb9MVlH7RmHG69kGYRnW
0XtpR9ZKE4W2FNlGgF0Vb+yImBZJ6mH0ADqutyRpgpfKLcgUAtVg9ZRFeThe6aNvvTzuaac2m7Qq
YYzao+WVPdfL2VAmYnEoALERBxydMwmclZ1kUAzVuwaGNCSxid06Dzy1KvCAxNIr82RXJ8ouBrBF
22zxLgDubzPOuviL86c4VD60c1VM59JAP4BghqNxTr0gCx7V2rnLmRjcadgm853aWU9yaJ8xPa2N
gvTs/01H5/+/Zp6lpObPL8QNecniXxwQlr/19ysRTqaFOsrSnk9AGEzgf3cRA+KGwIQ0awn+xALg
/3Ep2r/x30HOqd93/N8l3R8nBJNeTigxtmn/7fzwly5Frtyf9f/vJwSgHICDbBVzCiabX6/FNCcQ
PXaBfYHHdQi7eijOndQmy0vyoeJLXCxfaEe2fLW/f8tLd+mqKr9/+7skeh25HijmnvyoLVKP5/4W
P73Pso715XIZlWpmrUo3eafrNOY0z8VGCos2XjpzOQp1LFMVbH/5PRH/Z9mXanrXkbF/IH69c+UI
64cSz4zjfihi5ZIGhYPBaqiJkyvh61R10W0QRLF1G2WTfWsWDhtZA2abTrAq4wBjBrkoHi1boYkb
MUOu21ENOjJSbRRfe9S6AU6NfE65BwE0SMsdRRrJhE7XnKkRP8jevDfJlZFRLa5izh57g5RuGVUf
2sIBt6KeqAftZk2XIHro79FSp4x5+WL1Gmjv8dpHeE51VGNlUHwlRycIF/y1UVWq70ywcdrCNtaq
ET1DW3ZYJqdvWmg+MB/dJEmFMU+Jv2qu/ciw84kFjPbHnDfFdLo7W08RyMBP7yT//krDO/g26fQ/
84DfiZlFbr3s4/PMeawzVduURcqhT+84aSTaLsKBWwxD4+cy3usRPjETwxtBahsnp0jpUUlqWt/F
dNAr7S6gWcYDOkPEwdB2Zco2WnNS6bnTqO05lOAk6MVXUbq+07e5R4gv4DzC8aJwv4RRebRc+0hX
TuPFDmltfXYf7IDQskt79RgoX0133mRi3MMpvYQNuXZ4DX7VzNYOkxsmpqD61pWsb61Y4nxV8g8Z
uSO5keKFr3QHMo1SAmvZD/D1ujNU7padU146TnqIy8Ft5uK1CCHPhJF6H1QKiy1kt5UYGxPTIM2t
fN/wgpYvfaI1lIJ2h45PsGv7Db1q8XY0Mfdaoi7XNKTu82G6GWvzWW27i9vFjwkuWS8W7TUPo/uI
mm+g1f1WDS1lj7Kjr4aouZ/s4JHA+d1c91wiKuEaOt84gsTx5KtNcNsH827KAoXQkfLR1Ar9DEaV
bicTJWtW3cyTPQGj0GwJIQnDp9V8PpSVfZNQTL8pHVN6VV/oXj5kHYAEeYLO/pV+ukPcU3fatPHZ
SiqyScI+0uimboVLU/UEDlLlAvANNfnSiEpuJre7cRvjZVAi4fFAG1bJlNMB0+vf8onxj0fafT9X
lFTZYBApALLtcV7RGk6EP+WAK+dipxh8O4NF922z+DObtBkFzX4xJakAjA77oUyxpjTanl2S7hNr
PUUDwAoLiI0ncsPYyDq5iUMLSm96n2fDhQYwej8iGw5Ykq7j3L3VwqLeWBlLB1lJ7CvNOK3qwnqU
Kkkv0YhvgWa8MSZ8oK/sa6kjBoYdSwdF+zRa5domiBx5nl9zjNtrze0fpqlTaTnKX8vJOJrUgJoD
4ntEl6BtjBYHBKey0ToEnRhR/a5LCgA1E67rgtnqTcIMykjPRsoKZpjfG117rR1X37kC2mDl2rdz
PxSEISIw7Q3ACQtG4ormwg9IPe1e2N1DVHQk0iuR7SZRTqve5rgFSuStsoyHLscPL+na3hAelT5J
2cRPqophKRaXAYrtGuvH5zBPrk8v7TlJtMEfgtLepWmBlqMY1Kz0NbBHwVoHrsQH/pvcU1F8diKQ
5iUezRhdox7xRdFEpWv1vSxQOSeHvgCVxvc0LkY+pxg2lT75sZlM/pRE1Tm35X7Kg7e8GIGM0rO0
RgfDsKvzbSUI8mHZBauaIJnXZkErrKFPO4vBY19WxialXMCPbCvbOA7bIe6H87ZI6rfGMTdFo8AE
CLYluv5dpMQWmKzYhYckxQqfEQkUhQIWNiHBHVVH1cau1X0d6ifyezQi5ImzZZkGPw3GjRcM03SI
+v5rCjZsQ1WrftDoafPINRMMG8NiFxXF/DTLnM9GTsrGXHp8KWjmvqqBPTe7Ya/nOM5V1YEsadI1
n7mHwJ2PSjznDIgsQYJ0vqOg3QdC8+BwFj8RfcYG09O0wJLgtuqjx0JjREwxzm4qyuNWfaQ0XqJ3
H1aNSJHjGdyODi63SSX+CC4L6SmLbrsYU14wCz8t42FbVfMRQuwJ4JoP5fJ2IJK31pNaAEtlJxfb
zYW484dDOUbWBmwtbZddlqWY0OpM6FbORI11iDdlpjVZCHlF2PlSpspt1sQPKXQ18hnCWieNatFg
XH1mADjDXHDE1A3wsbHBPwnRxJcZSZSYFc3Qx5fA7SluUMXgy7oJvDJIj8QsxC4Zk/BaRxmQtODV
YuOy0rh07Sz/BgLm1dQV4Nbdpfpumeryj8DU3LXq4l9y8+xKhS+GwBhDlKYod7OohK9k8VklAokS
lx4z4pvekuMwlYEbmKp+jk4L8SE4OcGUk5uZDtBVXL9OlVViFs/51FzGQqMOY8pz5EWDVHpzqFv1
aGb5V6VyvtEj3q8s1qxFreyCNvnEIbhp+7Lbtna1biv+X1kqV5GI0xwec0y1TW/TY5B+cfvkPaJS
kN4xASvD3gPxWb41Tui1VnOYW8l6h1BGnLPOS9gPjzPf55gj9EbTjE8dPvkKr+RDnIT8YW7gQw6d
osmo6QYdTUOIE2+Z3N6YwPbxSFcqkw5qokULManyvopvrNpZBa58VnX+ceoPSdQmx5TV9lbPO+oT
IefZAcxVOgWEndOrUFxVnQeeS2zKjJB1J0e/YD97aiQnpaoFba1U9W0VuycqU7FaWvU9TeeSFb6p
Yh3Mt5BAWF5p5L1QTFGiyEGQ6wzpPebSofGHm0XD3nKo+dWcAoIwcyeRpJjEqr5MD83e1qODnJJv
kWrGm1A6N5OabMt529K/pBHdoXRQHU+Okj5G2YAv1DByD6/sNkmWXD4iHPWr77ojN5YM3x0rPhla
DwA2EBEfVv0F8h6EFk0mJg/ioTly+TyGE7t3RKurWtnUUJC6bZu1s9ND+gZhJg1d6geOXt0VVpPD
vyuovFvHhqkqz9FQloJ+paJtDhgDF5E4/q4Yw1ZAPZ74dAphxopvLOJy+F1ndtz0UCK3rcZFhGYx
tZ3dEDkLfVqxEzjOi2QdG6VPfKf3g6F8gUoyrwtnqFkShuo6Q/PWm+IBBQs8sQ61BlXciG1zlTN4
KUHcbVzT3Ue28YWe29sxdsHP2kCLo7jLPeau1ktTclumxPON0DzyOJmYCwUPtpZHGp/f8tkxm/cu
/GA3IpUGHD6rDH/s7MvQxfRx2aclR74q2uSL6k5+6xonanqZbsrqnWcLpKws89LCeWrj2Dh0vfic
g6HYzgn4iWlwdsbQ39K9Q2lvBKiXo8SKuUb6VlB8bWS+02ml9QBGzRtE3ZNRZ/caQST4B4OHViR3
3HdPrsRLOZk87My23fUDV3Si8YJmg4/KyFr0J7yd7QzvoqJ7UWPaddX0La1jz4huUrI0icleYdT3
ZgOdyXWGi0LQF2W1u8nN5CvML3xVKmVDU3wpQ3ExQclnxXAxtBuLfb4y137TKOFhEOVzKsN9F8Wv
nd09VUSXiEKItdNsR8t+wDrpMfdeplp7iysKeFuFO2Me7ufJnvdJn73xAz5Fy/7PZhZcRwQkj9wV
3oy8HJ7zeQiBGSbHMUrpNaKckMTyfJbDRNmLpb5Ug8DcmN5JWXxJKwckI92R+UTQyyxPsR495xKj
xH+Vte/K2nL+/vMD/UNZlPmXf5bWlr/140Cv0cVt2IaJgLX473+p2cXsr9N1RVoFZcuxf9LWnN+W
HRyuWhh/OkUb/IM/DvRLAy9+SkxT9PRxtv9L2hruxV8O9JiYWCwBl6fhiJ4P1IU/iGtUYsIv52l1
Q6SG7Y7pkKrSdav/aNgZDwZedpEH6Y5C6gKYinsNOoDOQRPVPtLfO0W8DzZRlRXigw/wULDDi997
RezboT6x7lpQ5uzC6Or1ccl3m1RX36Q9httWk0BO63rP/AUTLr7hqLnPI/cMwmClNmTr+4Dl3zDB
G7BbaKbw2Gep+Lbe+Z20QAIq821q9YGXxfJe07tXN7a5R6TF3ZQq6qqslEclIhgYwMfCKsTDIwBr
n7xk8fQmQ8gQNLDet00iVk1Nv1YOfFhwhk3mYjvxVDiLylhcJ8ZKqMZxNqvLUPRHpw2+Vq48xvAD
UD3SO4P2UUwqAZlUjp6hprzKxlwDhlK/NBy3VhIn+Nw211gTX0NKWFey0mtEjOxptJWvOGT5RTKX
+ds5T1mI6ZvfIRDpGW/xlzYp280QpPGa5WqOkb4mjWsG+wBj+KohXDlVwU3byzcieNgVbO00OvW2
M9KS2YgUMQ3EsF1D4l/mTcooyx1+3vW4vllcuNfEcje9NLlxRFvROewRneSO4JdBXywP1HY+SeKu
axlUL3FkMm1oNIjWbnqtW1YWadq9mLM8SkAMCwrtW+k0Z8Ir4SlKw4vLydYvOvhtLTx+tdN2bYAl
qK3DRy1r9oI+YY8jg0u3b1+tgfp8LUL7IQymbZ/KcZ2X+WEqNRWWgvJJTeNxtjDmJd0z/xt18ezZ
wBA765LKFVZ23S1PnezkjvmjdUIQ4gxj5/7/sncmy3Eba7d9IjiQaBPTKlTPYi+K5ARBUiT6vsfT
35XUkS1bx+cP37EjHJ7YpRJZhcyv2Xtth+fJj8wg8t2+/cgF4Fe32TlDHdGRNuGW/xHhVL2pyp6I
mHQgfV1r76CX7QhgfLJmseMWDleVtE+fPWBXlgCYivymTyKWXG26tbolW3OLbWZu0xWuHblOl+Zc
eVw1SU5igjGbOyMsT6ltsTVVLbHX3FjpeEwiNB5RM18yYtrpVnDqFuYSmozd+Q0LRvOVHk8Bijzs
3U5ZuLdGpUvAipIp1o1eefVtO4d5thNoODpT32JJdoByBB9pOL0HNn6XqMwQkdTu0S2mB6rL1y7t
61VVljdu6O20KL0RVXbAoMu0CetvNUFKMt3BjzMdr4fdXQozs/jh8Ha7LiOYKdmX3WRtosBC5pS5
yzrB5QF0Jfe7coLiPL9MDsbmaXqW5APo3vyFDxrnYKId5li7IEZ+R4Iu2WB0YyiPwiTzPS3YJzkq
I1nQCSLfmq2F8VH3FR8D8xW8/kY+YVGROADihCTgOmVyYCAid3ej57A1y/lAHjqG3PPUb3s5UhH3
h1jDAUL8tT/nrR/F3mOeILtrmwivL+4cfKF0hbkDuDcF/Vfrl2bnvbWjxUNAyz5RxKcWpWw1n60+
OZCSiXyZ+d7JGEc+WzUZ6Pd927z1zXCVTNJvE+tej0NkhnNzsZALt7LsYmOlPIU6QkTigr2tSPU7
uw/ea6fl2znkhw5U1Lp1hz1yvwmKCGQsk4JbXwas+VT/sa0inAeSY/rzSCQPbSx6OThzViifMpMU
QUfu2bmvGsiZnttfx87wVTeqQ2BNW2fQ3U2aEBAYTYWGWqi8NXuvW8dLc2XpxM+FyV6hcap4uAyc
5b4usTobnRrbHeFWYzKm8puo4pbF2DpOszE1cSgBIPst1hlOYZOCsjvpBdEJKGAZ62mrutJfswDH
cGf0z2aMsmEkWuKAOfRapU5UYXgjFnnhSTSJy6LF6GzHo07ur1uyP02rkKBSVLWkEtmsT6Lp2sy0
bZqRheTJD9NYsKRWfut0G5Dl2pYVR7Eete5q7qrrzpVfprjHWmMTaj7ltrdhZJk9pmYw+2E1fCRt
D4lBf8j64sD87SLy2JdjemU8ZfhG3HzY4bzpe1FdRtO0rZPlC4R2nDFD+sAJvGmZEjYaZKJQ957I
u/g61SRh5xEU7h4SOT3NuhPRyUA4G032VTiGJ6sjjDmw5kNQewl2MqITrb3TtunDkGlj6gutIFB7
6ca1nOQm0+ODYcP1YuMEY6aMviF6Q0w/EJjSNuLFW5Yr0WA4plwIEfQByWwQbgVm/eGyvIV6lp5x
1nJczlPhR2X8tUyM6zI3bq0U0clQWqspat8IA/A73Tu62nzVOtNhMTi/GpctM3yGL9OsPdASAkE0
Upy9pl9lkEiZOV8NKQIBa5F3S4H/KyNi5Yb5dbyxMzfZW0qt4AQDxricXjE6/VRP/Tcr4J9NJOwb
WB8CDVBMKyjIhqqR/uRhqSXjS0yCV+IuXz3a2+Ea8d8qX3sv97ftGfP3plx3+/jC3o1+tC+30ZEk
6+Qc7f4tcD8LXJ0Fzt8XuLvsvSh+rW/Vi36vbwWlKnQwUNRkJH2unn5fWBnEwUmLf1gDGzgR/lhY
4U5QhefvToOfdscejlWDP4t/4bPBuvRPFlbC4U/6ybDCF0iV3qyvpSFh8qg/7k9fIIAzrjH10rsy
8ga4qS2WCnyYCsUxtSIyNnaUt8Ezyt3mBvwYETqgLIr1QqyOk3gXTeGlzEPS1xS57cw0bDC6cDtb
FvrKyswmFSC0HIrJrDf94N2wh/kAhxqvCbFh3mMgtzEwGMKTsFlKwzCVsEynSttrcfZqN8Bz3aS8
CJPxJlX4U6drfBYae56Hvc4+B8rvuAahq6EKnXc4cy8NRnyUksyYFF611+f9TMkCxlG8wn9YUYza
hwYmBgRZhHjjGw3/mUijzFYUYOfJI2KhU0hXpO/vzSz9VMFeE6hotPuAYhYkwhjjirUxiH0NI3ZQ
sNhRYWNTU2s2lULJQjLipwXxxnWwfGUldpYKPjsqDG2jgLQGO6/IAvds9uG2UdBa0YTAIuDYSni2
ODVAXSjErYB1m4MugdbGWLu8mhQMV8sDe5srQC5A8MOokLleDH9V4DH09dEaVqVC68LGMH2WO/ka
Ejomwvkmt9NDS9LtiuCZb3M+SO5fdUOWARYDfHlmOL8QigX6UoiPztCOAtIv1K+LRKF/AwUBHj5x
wAoMXCpE8KxgwRPU4AV6cK4V4yOf56mzn5fcOVvk/ZHYCXU24SIL7kaFIW7I1mp9rHh1dKEZRc+c
Jk5DysgsK6nRRJd65HWGtnvIWokeyab4jqXEmEnelnc2yOk5ummJNI3m/sDvpdI3lk6SBeF33l0A
gNdbZ7MAElGX7LsGe7Z2VWNbGecyTZWYS5LSXWChF26W9V9lSZlAqoj++O9x+HkcCvx4f38c7vsc
UPe37tcTUb3u9xPR/E2t6FUInOPhkuPE+f1EtAiOQ6bL8tpUmW609f9Z4WPUV3E8ZMpBCQOepYQ2
/+n4AfrD7ILP8Mfi/x+oadSF+YeBT3n4DVNC6hKwMgx8YX9Z4Hc9sGU0deN1rx9DKI7zbdl+vyz/
lpDxHQTwx5vwU2AvY7WIVtM2HAyTfxkqIKk1Kbrb6tocscu3VMQtBtnINArzOtKpMZWde0pvljJ2
5GUURe4jJ4SR3kjdnteRnk8GiL9q3U7loY6mizjINo6J7iYWbLwQlM5zdh3Ymp+V9BetB0W6vOt0
vMJzhPa3dm+nuN0HM/CaiB4C3bbwbas+ahWpkTJ9zWYYLHDe+6o6wLt+xGHEvDqOrsKu3UgjO7hR
W6/E1Hw0vbujEhr9jBNrF9dWv9aw6q46e9zXA0PU3kVxLPe12a758R5DRz/oyH9WsFWPZHS+Zy26
IATEWJPy9wCiCw62ClGmPkGnb5stAWcXQeeOviyUJWGk+qpc/VVBgEwLmIqwintkvMfAML40E0+3
EXcoB+d2Hc3jW+tYx9lqCqrW6lxE0+h7tWsCrISLG5QN8kKI765FvE44m+c8xCzXteZNNhLytgz9
o5aYgBfdacP9DRXe6D4Sl3RTsLNMXeryuiitkzsCIatIxl5laZ3sHZ0AAJZj4XpK+mITVwa+lkGm
iBSWrwLNn8nHuSp77dYeNZoWI7sfc4+IY5k+afDMUIRXBzDAyWXWjWKNEevYalCFdVFbKyHDi7B7
M5Ny64H/jPPRWDNiYQWRFV+DhQyFoAYEVobi2Mi+8bvB3S2u/VbF2G/GuTn1rvUm2zyCfBR/yJz5
cGjJxa877x6X3YeFTkqv4/e4Zgsu2mQfGeCTEfGuyzC/Hoz2VSSJvm4sdA+QHQ5ZnLLyZm4VS2XR
MzFsW203bixN99Z20V9jLfkyhD3A+awjNy1qlDjjLpy62i/dsF8XAQYiCy74wA24qNPZk8mdQaIb
phzVZQ1fU52RdDw7H0niPduCvjEasZibU0rWMmSmc4E+no45rtacK1/Cub4rLBslZmpC83NdKv5o
5Ms6PQ9JxrdnrMnaHvl9uO7ylDoBuAHu7yEp3i2iLrZDo39Jw4xBPCnQE0MHzEUdC1rto9PkE3kF
uErSCMGbQHYzBdidYPU7pbHpzDk9VJ9G9dFq6mBf8dvwIF7U93Y4LivqCr7lXpZ+SXE+HOwFLI5j
jvd1jdx5qd5zLJZxWmUEqVffRFeju2ALi0mHdXE6EhrZxMlXy+qAxQcZK7GHgkZuN0dzcpFDy4o1
7bbpE09VGtCc/CAngXEgwV1zp9JvvKpctxmoJ3aW69CsgACYZ4vAS2oxEmGJBKh4NlVe+CXS+sdI
2u+xPtXo/dh1WIvY5llF3sd8opx90aYeTXJMGHv/FPYW2u3FvG0KsUkqcVsK8zAK7RZ0v+9o4QMg
tadW2kiX9JM3QkVz5fVMsOvSdtsFBQdZOt/YRsCWcxM/bbt0A5F+ndaQc9uGGCLW2E01XLok+DU1
0ysTgyUyoBEZ1ETKudQYOWh0ug0KfS/dBEb73pKQZNTTV619t3u+iYPjbk2LKIx1QGQgo4hgpIhN
+lnTNvowuw9uOEy7um6MdRKizLdl1VWXqWk+5qVFSvlCzNAAcHudJZxbq7S0KphuZKHsurls1jKj
LpNm/pDW7bbpxsdxzB7aWnvCSmne6L29XHPh1dsmq19qQxyixvw2BfKqXshJyrxQhSFgxGWp7TMI
lmstyeJtvuTevZXL+Rzm0V0chq/IabT1mMJQa9iEUGx28AkKhBSMVp8Kg09xjO7juEx8z9SO/dA+
9qJc2KODKgwUc6Li70fIAnfP2ks5A3otc/y2r5YrrZPavZOgSZhnb1TMR/ZEjdV+Dby2963Ozfc8
zdKvs863nGHYD6Ibd6xey7WZl/MO4nZEtUeqadghSWHHbIPz88SeWvYaaO8tUG+1fdklgypQtYBs
MERSiyPuKbUfGzHdhXbjHDyrfywVO8sKl+Dyp1rkv/TKFA8/3eyfly4LA/YGDr2Oa6sm7edWGY5e
BWmn7q9LObJvvUrkvcPf2lajbuvr/36vP1cR6r3o9CDbC3BELupC1XX9hAFo25Lk47EdryUQPEbC
8zbS/g/UwP/1Fuq///QWhNZm2dhn4zULijVofIwlz1Z19//xc3g0mmDuqbFU1fXzm7QRjOWkGMdr
s2EMdjFpRGcd/vdb/Pqx8Kv66S3UhOOnn6NDohAKaxqvLXmX19sF/j9VSOG+JPP/8U7KM//nquvP
76T+Jj+9UxYNNpsAfph6XlaiQItlHPucAf9myI9L/p9U6b8t8/48mvn+HYA2ZVumDsQcyeqf346k
gGlpOjHSAT2KDnOmcx9Gpzn/t9f4DgyzaQz+vte477OX5v3XTkO96kenQb4FhTy/ffaBwDjMn9yE
KPoRBOuSzb4yEyqSww+xsPMbu0NchuDj6QY4K37vND51+5iGUfS7GAAV8/0fdBqsEP/0hcQ0gJNR
gPGy+TdcZEW///kLCcZXr4u87C+XDDklM9rnZkY4wu6InKIB5GyTfcXGipGmDM5xg0fQFmMLf324
ztvygCpJW7U2TDpvqH2KRFLpkzM7cq5G4Ni6nn4D8pSS5ju4BB2O3H6jcS4Xqv5Ad8J13lZXxaQD
imRZ11qPXo3hWEaetQ0+yfDwtDI6fPC1ESYgKO1uiGo0rpIHWxbP1Vx+GSIcuWXXVnjZnIem7hj1
FF87T/saFPMpgv5nmvF5SKOLroyf21IiT0PD15j2G9ee3OT8YLCFYmcHVvHIbfUE3nsmQ8IkjxBT
w7rOxr30xi+zUTWbsBu3lrV0vpGYI7JkPMWpJr/VPNe+zJyLtqOULpDsS7xjdipvkbp9q1vvOrYR
NRo1LiY9hH0WjOOlrIZHdLlv+Nafgtq4YnL/ZlkOW9W0oeYi9GrfIvEJKw8JMw1aEj5nBrTTKpOV
D/IhY1FZvo3CO6canil0USO2fxPXBEalLbd4s+ZauOja9FhbwUURZv4SI3ADdbTVm/EYet4+BIKK
ReojtpJ3N2/uTbjBgbk85iFyON3lL8mH5OmNvRpHVJaGntQrY6qdG2doz0h2PzJSqiEp6btSD/R1
37DIzXXjqxXat1aHrVTG6b0VGh89aH3WTOrldt9vLbN/zNnStAiv0f45274D6QojP9k5TvZUWkm6
Nar+0ohs1J4pOUE1xM6VbmkrZ0m3ukueHAi8HQHXDP3TimVBxadGIBmgLtvxP0XdNSAGB0vrLmir
UxyQ3raQ6A2BhOxn9qy3bsZIurC3fW3VTM8DyZ8UA4PuJqbqS5swsOEbZ7ujtpYLX+K55TPMjSrc
jM1yB/SLdy0kS+thG+j93SLNI3Jmc+UaWcEilfg3SAtIn/v0jQ3co6TH5QSuXnWB2KQoyWsYiWsd
9XjPhhbjmxbt9UJLfM2Fy6Xr5Y7g7J3Q434N4trbd9E4Y8mT73lSX8ipHJB3JdWm8TqiQefZN5Cl
bsJ8+lLWNr0owkS+jSjaze617b0KJS1aQGupluucReDJQj3uT9gHwkP2qZVP0/ErGvBm2DSfWnp+
Dejqjc4NqVViQsidT+U9WUyo8AHIoshnbIk6X9DEXdMGodmfayinZj2FT4SIbQgOcMeVFVnBZUXt
l3ROv6btWeksACLXC++iGjdO6NnTDQTuYxDWsbmZvnt+ZMaeRTptfeg/XUH1p0MIgjtuoXaGp4B/
qGRCwdA2MY3HdNT1+JwVFV4jvJ7CR8XzpocYOtepM4MIQEin+qQgtYibJ+nODe/1zs3aJyMYwoA1
9IJattZzJ3iGLx1ZZx2nJ7m/3tRX689b4l8sksXt8ffX5R0OVhJr+18vTPW6HxemwZTNcihabekQ
jK0QXr+P5kziUzyUgdjpTRxnf1yYlsJrYoxXcDE0bFxlv1+YjOaYogn2GDj3Oe8Y6P2DCxPQxl8u
TMySMP/VostEEPTLskIEPXzmximvp0Z3t8XAst2CgAH5e+Q73ZBIMc9oazEHcPHY+knPcmJqHRAe
h0zq5WOcB+2Zo2tataZZ3yW9Y+3tqW8vxzSovlUdSGWXOJeLKENY9pk/uK48Da13LrTpukVwe1Un
ifWk6U63FYFhyzX5jBztRVBcplwW36QW3c5TxppTAEU30NvvFkkSTCdn+ykb3OaOvW9/7tqIqOG+
KOuV22vI0e25fDB7HYqe2Rrvpd1nj7aeFXtcCmjRq6B9GUxP32A5jjdu4407NxmZ5kRDdTMmxSbD
RLwN47Ci4xcW1mSNxfNbSeqfdRIIn+dpi7ECI8XS9do7StYkusQQi+ahDtqigVNUqThfkIp3UeJp
K8L/GPAtnYkE81KSRQcoP7Siydpin5Uu0b0D7Caf2iOLT45WAByI+2x+TVDBoF3H4u/VwfTkjJn5
Qm9iowOf0KiEkWMf596Z70g0XV5QdtnY7o1YP4WKREk8r7cLqiF85ZsUoxxdlpegjZZ3J54eG63e
FmF81BTvJxcOexcbNzEjy5AbQ/TEWoIWP4WCjUWqaJ12B5hkNeUlo4V4DONtS8OMbnLIAU+l9Vci
XLIDPeoXMwXnXmngiiN9HHADNd3eSVrnTkYVUgSt877AY3AuJ9QQfm7AS10ZnV3eB62ev7cEAr9q
XFNHM6NsqwhNTaTQ/KZjojBoWjttaNXqjlFRXH24WtkekCUVOCdle7AZbT2Hi3D9xWNOOgUpOo7E
Ss6tRiIYWZ0lieuKKZ4u5dPST9qJL6/irRb4mcImeETwP34pkgaWSznFd1o8VdfRwDisAIpB0Lll
Deg6W0uQguhFqAMmu2WFNo8EqeFw2BuD8e45RLFkOMmn0USC26An0UtHvCNNRU6KF4fc2BZuzwh8
4d+z+PuahCPw78/iQ169N/FL9utZLHjdj7OY3D4UjIwp/rMcZoTw4ywWYE1AILv0JqiPPg/cH80L
uxXMwDp7i8/z1mHI8UMYafzGdwpjosXh/Z2d/E/OYlM1J3900zYiS1bHBmEtDFTUxuQvIw43Aicx
8dAQXVJVQkl44PlWLsDgD31ZCpspMUnyDCZNnFLLvnQocQom/QkFjWOlt4GBflnCQNo3YnAprhzj
DRxAuy694AU68V0apPn1nHIu1ItjbMG7hIzqdVQNjvMRVZJhYU5+E7zxeIstxdy4IB02nTO6K5T/
9sWChvigFVnHpgL/zryeHOqlhOfmstIFVjJk+XjK0hNcocIna27eNjaD+K6G0pFB/l0DGsYlh6Pz
0hrmI5XJhSy74JTHWYqmzEPtzF4cIZLhkOyb2vN28tzINxXbo2Y8TTiGC0hlYphHfh8gWkt7IuLu
qnKm4uhG/b1wIp05Ldp1NPIVtdisXTaJ8zYWlI516YodCVYfS5I8A1yBaWUNIj+MgRtcVFYyf+E6
Ah3TROewNVmGRsl7Fy7GExN7vHHUidvByWrfbTNgXCw+SR7xCu8E3EtsnFHXjlY16Rd2XHS7GAjx
KiQW8KJx3RuZhckdS5zDGM33WkVQe2kV6L8k6jgHIw/g5GItkewyWWcBhaZLWSxG1usoSy9EhGDQ
nZvIfhqqEBOibqanLphFR1yBNjPhX5rGaa4iPruBQOj4PAvWDSstFNSgwN50oC5cOd1VJb0aJyZL
X/sAk8O414w+iw/kNoPyGArvKgYCVq/KRWIWIJTeDK48fAPo9lPvYxBeesFZ7YswX+4IEwPQ8e/p
9f30+p+Dl0Mx/xePttri/n5y2b85BIN6jFHkXzzaQv4G94byjV7B/Q5S+HFyuRx3KGRcB1QAWlCV
D/Xj5FK4BFal0mIhqyBO/1Dy8t/GLqqE5PhkNmSbf5kDmlFWiXBwu8s8daJtWWYxorKcNdjN/D2u
Mv4eXmlFg06UZTqk48YWnSFghBlzwehhjs3sVMu4nq9gM9pYSSRSYRp1MTk1ib52Fpk7IOm4wVeW
lcUt3ruA2sjXAq8snpfG6a1rt++9pvBdcoyt02TbYzsBm6mT9sVdumZZ0DCS1IJdZmoGr2WHGKG9
bSvvTOMWHcKpIcd8HK0vdVnBGWQYUvclse5WmrAVrcfhRD8wbzFWF5dulva3wknHV72wbUIykih8
Haxm2mbUMBexk5Zs4crgMtHQ4oJDjDAAC3i6cjTnG+EawQEL13hGNjpeimTo/AYTMekyLSxuw2he
iBlu11mHd2gd4UA7RHbS3RtjjdcoKuw3uWTeboiykeUliHnIdXAXLPNWLnq2mZTLOuv1ycIDiJDF
RhwID1NH/gspdJsC1d9alcDy0rYgMtkcm6+kinb7Gj0oGVlKtep5kfFsqvY6WhYUhanRG68p661T
X7fhYUZ18mjarekz48YJWLFzWWTeX/WMB/iVFofac8SdaGM9WydkCZyZLnlMH8roclZji3AmBsdW
4wyPXG9E8J68RClr7/O6YJky5806Qj/zhsUouwCZ1z70zPW2LepGYKyxATtGZNieI3TRsxewEVZz
HHaZaDVru702Y7Pycf2UJ4yDwwkl5BH/3QKgR5Pb2p6nj9GKsr2s8vA4lTEsLMBN2jkOHB3ofws7
v5xxIXcdR3g9y2JXhTiTLVikq8luGD4vhhccs0ZzHtjIfoXFalwYmqyu+OsHWw3SzrktDcXAafSr
eYngpMsxOYQxnrMSwiebwmq+jdQIcmjHejPH/bQJhyXYtgBjw39P1u8jbYMdwd/XhZcv1cuvNaF6
zY+TFbMMdZ+F3wU+Hoclh+6PmpD/5FAvStY0+n98ND9OVswydPOYV+gQhem4vOrHySp/EzZSQo5c
G0kKwpp/0p+bQI7/XBPaLmwnKMhIyjwDiY+qGX/asDR1m1v2YCxXVUW5IowOeZlHAVfZ8xeR1Lsg
km8WznI/qPpXvQ+eYwexBE/+qbWDzMdl+kWNshG5nO0FtYrdQfIOsOHrIe7MONvOgbzWsxBapugN
BtP6Lp2882jaF2Ve7mTo7YEOXKHQs8iIYxLchEhNKAnvHJvHsTMJBnOKE9UzR+ZghWfXgfqgVSgJ
ZG1vZto6fHX6Ljfjg27TJLExfHAr87o1sisbPgGy6ALpozlkD0y2dsHExHG2vZssCe9oYbHW6dKf
7YS5aFbq/txZ72MZJudl6auXouN9sMPvFq2hievDteaIfa6lYIYn0RARSqoB6XJ6twY/cez1MN0Y
FUVzb7ien0b1Os5sGuvsNWReq5g/q2oAFlyjz1sztd1BwFIhm9xppKk1RbGZws6D6Bz5jZWJgzGX
J1MHZCBwMTOgp8xqqHKD1L0Y07Jce6NzV4vY2c50wGutGPgpIBhcMVs/FGOvU2lhK7BbG2eE6106
qbk2i4I4qC54bkN5n2iSoHvN3FtzAF1DR9xiTZRyDkNDOxlX4JgnZUDdl1GA5YicwXsAZO3KnexD
XmCMt8LqVohsP1FXrCOwCzis23pdxm1wcMaBzFxdqcATBuxF22+WKJ6BVmfWyg7Tt0YUBCrUAP86
bTFuvVpIoM3pJrLx/Wq6iHytE0DBRp3CHZRCTnhCUBycXrP3odRH9PIS/QZChckFrDtYFtATw012
XQlce0+eRxncyVGii8SPE2pltZHkwx0XZdYRuHYa3Dut7qgZtrG3NKjcAGc3bdTbmwFNjhyKEkd3
c+YW+ygndEcW/iB9Gh4rZRhyFgAqykIUk/myHnAVDcpe5OIz6vEb5cp41OBAWpQVqSzDXYc3qVC0
40B7QCiksxBZ9omBjYl43SsXX1OPv8mOuQ3bT8tT2u4SPFCZMkPpXoeJMrga9PSLp+xSOb6pUBmo
BmWlSkQdbxplr4qj4sXDbxWFkJuUAYuV1rnAkdUpa9aIRysO4i+lNtfrUAujVYKPy4yrByiZPvGR
86pRVi+CZjaa0J4GZQIbO3k2lS1MKIMYopjnruLKE+43d2lPM06yBUdZqKxlbWlfTcpsVjT5LlP2
s8p1TubUAJ9DmAtj4RbyL5RzPGuGe59qG2uWpwozm6dcbUzFmYRgdIsHWpQuzW6wEGlro2yeKq27
TZQ7rsAmF8GyXDOq94Hv+TlGOk1z9vjNyxUZ8DWze9x2Dba7DPsdKYRg3NKrOEfvhP+6UT69QTn2
0nx5ZpbSbTuqAXSltTL2Zcri1+H168fl4OH9M2xod4EAV6NsgVWc3HWZ/eopw2A/UU4VtfsQapgJ
hbIVglMnOZ7BTV5zFq48xfZuC5hw37UR/07FBSPkv79xT+/Nf5Hvq9f8uHFZITvCYXnsuFjrP6mz
v9+4OnBZhP3cnExAPq/VHzcuDcunglTAiqVzUSLSHzeuRS8Dpkp3iWaCwYjo/x9MYX4diHuIWQRy
VW5biFOuanV+unBdUYWcbEt36baEOqbQZnHBRUbmu7Xl7cANvrRBOG7rysY6OS+JpR3zVvbwTdzY
SJ5iAw7KVRSUfX1Ar13x5PcJ0bGVZvfudYUub7wuxuqyMtP4HnABkGZ2Ne42aZeWMUGUPJsEJN7M
xUxurB7QIYWId9jwFaqpMqwl2naf9WFtTw3k0EDLgcmJz9UPKXcJ+q0JGjUMBLN32rjdGsUUi2P+
GTYbLowTkJQGCdo6lUfrmSHqfpVROw2d4zcqu1ZL53oz1oHYYcMRm1Fl3Oqp0zyQoN2LferNzrIx
2x633Gx4y8SkHAoDc6pAQ3tuVRrQmGpxzv3cRqVfGaVzF2PpAnXPlnPjqDxeUUVpd5eaGVh8x6qy
qwlDprGrGcNv5rAtH5fR8riWQIYnDU6i0j1AiDL1zb/jhu/jBqrEv39EL17S91+LYsFrfjyinw5y
XakxJF4W/WeVh2H+xiMLZZE7E5qy2kz9eETRf6Ai110sU5TFDFr/eETlbw7TBp4nl4BENl7eP3lE
8av/UhSzQ2dpJqnMWZT9NReHESFfhrrAYzxk4UkL8zq4m6a0qPcEt6e7URUasyo5amoPQOnZwWpQ
39qqMEkDBMO5KlbGz7olYY21nfo5WVmuCreHcCJtStwxYXeehsVR8xL77C5BzYOlb52cdAMUeVtv
ke92wi5gmMHJBQQb4wuJwlMxjaekyLaaxLXOidDfdkPLhG1ynrPJo3JIIm8zQhTJ9HK/oBodjfC2
FkXv6w55762BxLXIm323iEuv9d6hy93EprxaanlAhHcHoGzHyuNRC2V1KsjQrCOC3CIrPghvfFR5
syzMoFLbX8JYctNJxOBWala04uETrfDBlNUm0YMnQEgvfWQKYBh1QKzxMJLdFvN3tkD1msiFmwYY
iVt6p9pEN5w2Bj6a7LIG/gFtJTzXufXSRN1VRwRExy8a+lG5XspxXM1Bdczd1IU33e1tT/o66jBP
GNhqloI8D0XMrkzhm+58XALtUTbRzTxaxOJ1yaEPCzZKFGmgIWFjSgWpEgG0v7HcM/54SjkYafLL
tW02yzacM/LUquitzdGHzJWw/ULMO+JSjhmj5F0ujcuisgx/7LLIj5vmoQoia2M2H6zM9L2TOt6G
GSlzZ1QWXFcf2tQC5/C8q1qt8pYYUevg1vcSD+iF5mX71G5uMnLQvAG5hEXBlnSVu7bDIiULNpyf
52I5ytD65jIa2SSsiIg2WZ6spsIlaD1P+nJTowtldvo0VoCbmi76IOoPSNqYEj3QEjUM8DwlYRXM
kWi5PEb4QViYyfhmDFuF28To3+YIbQxjuC1l09vMbVZC91GBF7HTvg4o6C4YfjEWzpVDp8Mtkfmj
8u3w80Osm5WZJ7BjjD0DDjV31UkXFVLOaeDjh0QDXQe8OFW/8QUz0SoOyHcqOkpADXwREc7EDcMW
JbB50K8WHoabWSbuDuXQeFMxIVpNo3E0zcTEO+yBfeY1KHU09mvQd91JL4F1D5ii7Jos3FTMGI7M
eDogCLdXdl3GRymnhavWHjeAljocFrDo9GHYjtCY2NZdAXBAz2qIs9nXLFk97wbPXei3WXJZO5iZ
DfGVGeJ81wgtfSpEAuqnJsnAZGAtgoYuo+ML2ThmCtMmXFFCQy/FacocjGdWYpjZ5YYH+KEgrU6M
/UD+s0XnV5IUpM3n1IA65iFlp02MVn2GxhsswGvTazsBi3A1mM2hcHoTD4o8atK0jyLMpF9WiVDI
oYa6Gt8BJMhx04cDGhZFT4WUDo8qb6qtVmWgDLtFf6uF8ZjkebD1Wv7fsRnlrlgI5EtTlD5lTtPR
aonONU10uzDU5xs4OZv7AHhztMvG8TJWtv+RGMsEDgB6mwXaj70VEAIEpAB2992m/IQHQBFQI+T1
FAEWMGXPJ4RV9/+xdybLcVvpun2VijOHA9joB3dwE4nsk8lGFEVNEGzR9z2e/q5NlY4ll0u+nnvi
cyJcEmUxCez9/9+3FgypDQjNeZNDIYjM2CBsRGwKoN8RbDYE60rdxrALwBhte1gGSwrUIMuQpkT4
7wotPbcSfDD3nOxBgLGIrnYWbIRQQhJMzndrJCj8wJL9Emdnyj/lH1iFaLhmg92yI0HHkUv4Qohj
h/nnAzzczWhUxz5w3iaJa8jgNnQS4MCifWvDo/vnhPDthMCE/hcnhLL91/8twrfsrf2TgwK/9PtB
QZ7lOSHwPhV/ZMeylyCi4jBYo5ZG64sR2feDgvEbjTAy4+QzeYXL08D/nuXFxzEfHK0JM5TNxN+y
S3Dg+HmfyqVAlecXaaN17D+GQRMc785YuMlVn/uLidwg2hr1ww9/MdfftrP/Kvr8umRr1/6f/yHP
/idfhVkfWViZpQGH+/OFoQ44X5iLmVx1ZRJn69JRi4gk2UyQBeO9n+jA3Ese0qhrnQIoWoTmYgmO
A+/RW7AkN1mM9ceM4tOoqhwCmCSRQOvprGix6qlhtB9Fvu+HCE67u6t67aQu402LzLpeyuOEfIAb
ykFNuEznA73PRK3djT1nVMB64FKxcF/JoIw0bHL+ZUd+g5rme8ztAbKrRTEXa6KLCIJfDx8GkCEx
OeswKku+DcbJXndKS4nZFawl+oVwTdoV7KGF8TnQXZtsj6l/FTn0W+DvPFHUNLL8qK+rzC9nHB0l
rlYYbmBad6ELbRGQOwgtHpHOlTW3Mz+zACMpvDrkYYmS6M7nRdQW1TeRbRtlscytVo6URVCsIZOu
vd7MiWEy3zSVi1ML5czvD6UhBkYjGzSlUmwdHhtr5hANEEuubY3txDvQIumhZ0HgXPP1Wv2rOYd2
e2R8N5RsIvTb0m7M6TrSyDcS2XWPbmPZB1pW4aOcHj/AvecWmM2sPbuiN/YOayFEnULibZxo4Hii
jq17X5YOsyLuQD60WUnenyIvgy/j1WE47wdhDldu39t+x9/5iQxR+9RyYpxm8Frz5MAZqeO9Qt3J
594MDBaL2S2VuUOizpnvlpp7y9KEqUsCw9WZXYaSVc4yKzXWQ6lxP40foKsMJ751w9qq48VvOvjG
LRddjq5TfLCQm/k2775t12UagZbAuGqjQeB2rdutpQ+70YBiEk2ivQl5W/mOkp/jIjtDcyw2eRPf
GKW5d4hEQ1bKdvzEpOtQV69xH9x1mj3cU/lx3ukZcshN19Y4We9l3K9NqChpUGufVKXfhMS8FFGm
vqvkcFhIUU68glurem3b7q2Im7c5mT8DFV83+nCAsLPhAUJIYdkak3qenWGtu92OMcBpoUZHZvVZ
NXvOosomGzXOdWCK+vmFGvQqLF+IsWpEizMMGTbyo9QcHk0rfs4Wy/CtNm0PHEPQj4/LSeSYaENx
trC2jH36WPHtazudl5Nj+8FgbZBa7Xp1eZyCllAq1jmC5isdkCx+qULdJyblbW3mrWbb1/w33pIK
Jo4aLyGHzgAg5ECcMzKgj0SBuOmyoj2PdXcMxcSHGbprVk/qKg1sPmX5fHT5IVKxsQi3ITTqnJxK
PxlT+QC/w0tN+64X4U1RVye2mkCS3FPeDzeRy5FXgDYKAGWE4YTmINVWSTRWXt8wig4b9SpV0q9l
qn2t0vxAuvFYZs4h6bWbZdTWGfTMMsvOppGQEa/n42LbRLi4EDiwYOvU3vUuFoeG4xXMktW8jAen
XOZ9vRTFAZrxaz4H9kqJCkL2IRYwc9LTbe1WpJVpri0zWbNfP3mJUP7nk5dB0UeFmS0M//fnJ280
a7jsrAw0Xp0Kn9TYTKdsTtc5nOFTl+vj2h5Au5ZRTn5oedOqur2p61T95CxOtiqn6ZaA90mdgnXq
2lh9um0dWe/IRMJ1VVGgRLiHH3FWN+XCZzqjNVAGZuuNiQNVuGb3bDvdDv7iM0zq3ouT9rMgw+NT
5CLPq9KqzEDG1F477bUq5ZgdFFstabYCU1smym2b269zlt/R5z30sEmXNjvUPT36qgSGJVzm0TO4
vTneiSkyvRa/nBXA7YvYS4Rcttet2t4ac695VWQd1Mjl55p5Dt1ejY5fM92j8jCw23CPEbO4GEgw
KIxZpHbi9DxUy1XUJvt0NLcmxUM4TPU+KFJ31TtErUEgbVhS+mZYnbIQDKxdiEuM5yPr8x3vNSq+
FVjlcm43ZdJcQP/c0triLF1QsrAKJQZSw1C2aa5jHYpPvnDzZcB8jxmE0MwUMwG3j/HAh2niA+pw
k0vTWmJwmQ3lbNy1RzhN61xHL+cau5HnkN6Wr6Vrn9RaHViiKK+BZi0UBOoVJ8pplZJL3SuVfJZ1
p9i2vgg126jqDCmZO8CcC81L2jn1jSi84L3R1pA4JOU8cXaQdPvPKGtgrMV1c85gvf9FTUoGt34K
dkGipIMJ6w6wsgP97ucPagIXg8RBDpGWLZOeHBrRr379w8CR6YevwG+JkEtjIMJUVSoy5Lz1x6ml
bhEPc9wwvMqsBEnNJe7jXVzdNmPCJyHzYqveuIn/66/JbOcvvqr87/5hVtpXaVcZuqKc1bm4I9nG
1IX/h7fil9Dg7IGBJ/E6x3ywAn0/9ND3hwnkRVaMEucbl17RLF9KxT7FnaF6VKhhlo3asxMZ9jpX
k3usMOM6TOejnRmPVpBOBy2DE8inqSj9frEL3yFjutYqCp52Mc/7frL157JAj800RicWH79kfFb9
WrWiNU/ged2x7fWG3r3rDaloUtJ7rmBin4dQAubuldvNjpfSp7ZpNlY7trQ7kp2uRgoTE04o2ViA
6lt61avBIq+b0YQxHk+3IirImwHPqvWQdZ5Lpbcd3ut2FKu2iveNgQB8ND5NC21jNT2YHYWJRkI6
4kAnHdHFJKp7c58uCcwvzANzINZ6ptIdDlKesurDoNK0iZP87ETTtmhGfwgWPsGqn3YhmD6SDmUC
ua1aEmfdZMG5glYO8mOnlYCUnHC6YzLMAY69Td+x49T1TvUWu9sq4NRWWl8+WWF9btT8pmZgTbih
W7XaYTABmg6mvrO5Ja8rTbsv5mg3BfC0h6a/qizekRgA9g2eHqdWew+Z2Ko2jW1YGScbndFffNz+
6jMuD+I/fNpGgyOGgBdzTk7FdXilbJAUfSYMvsdodXJ49XgvYlxx2z4XX8e/okL9PHL8/gPGVh9d
jWD9IP9wP3xxJtZOkcJPOZOCXhUn4VWbHkLMUXmwNyip7y+Kd3oYfFZkwxP/yK7mk7o6xJvgioB0
/hd/mp9ffN/+MLrK8ZKwKtco8w87ilkdGdZoMnCuXsMEWsXqQzPsfv3X/fMz6z+/BoPeH/+Dlybv
lSjKIl6ub2Gzc+ebX//+f/rfYDO8tR1Dp9f7h+8mnZ2FaVLNy1u5rl1+HkzOnN+eUP/s4LgX/+r6
/tS2b3+2hfsh90JbU9Y0uZqTLvkDREv7jXond3bbJYb84xYOZAwbAWmLUQ0MTR8yye9bOPc3LmAW
vyNz/m8dz7+xhSOByMfrx1emyetMGPxTEGswCNT8/PHjET0pmJXGyzzqre1zx0pgItggAsM5jiBQ
S4RlGur+nAxQ87Regw7F8jDu9tUSc+EZCKucWqr3i59MolvQSFeyHAJozjJfJjLNRJKrJlj8LkSJ
xqGk2U2WFrrvrppr3d3ctrBSgNwZwTqYl8VdZ1U5kkUgd8iiq7ZCseDLTkfQ6UupAaC3ezInfi7C
ZvENqYRcSWY3GbRU2/Zqijy4GXgv3mca8MwNStw9y0LmhYVldJy0h3k36XOfvI+6M21CDpkq5/iE
8jaKcnUX4QM4KIGTPcdwtdZuCBBiNVfz4CsZuUVOF4zXI5JBaq7A3iA6+TyYbL8X3oTbTp2ViNlq
aGzNOXq3RsVY5YXzzqLCWHV5mPt2xb+rlAQa1tADjQaSeIxCkPCOnImGcS5WxL7DFYG34lm17ZQh
a5diZyE7vGpURcU0QZpcm2N15zQGa4QAGrRG7Y0cRhkeqkbJrg05lkBl6W6dqnhL7cXc6pmOnjEa
jG1bdrGvMpNg62InvkFh5xpnXevVLlKTahAr2L0jd9KSBYyjv0UwrHd4rPhYDBl9otDAuVOG9kq1
lGfyR+HOWrLeYzjubKOmebfHIIDBzYXGztnbrMeGbm7WCXtblnl7cE01WQslSs78mXNuj1Z5SMfB
i/sEiYFtMrG1x/nGdQNalm6Z+20fmSvOingOGsNZjT1c1mJp+GM6+pesSAVTyyTk1GtwEB652ZU2
4Q2CGVhCITVs0Q7VN6BVCHmHY3djxywUllmrwQLNYE8ID2abRXUnvx0QlbbGVPmTZvfQ7DEKB1OR
7ojIgIAIkvzbo/+fx6bxy8fmXZk9/ZksS/6q7wNP6nw09TTNsi1unj/bdIWEcDm6bVj0RUgk/D7w
dKBuUzr5PaT9+8ATtrbO6Ir7qyFI+pHR/juPTefnMxLsQeKCUpCn0s8nSvURJ/zhmGI4edIYvZgv
Dk+1axs/zi0SWvtLmRniMI8pVyGyAhunG9TzSGtqRewXGhFimM+2O6J6UctsuywaFTS3DHxb6Zjj
x3Xkc8C7ymRaZ9C14GSa7BN0rFyrYaC2sO7JUDGxqKad4riHSSw1Zd2IOQ0xhxcU18UW5EUg94Cs
fap2+ppHUXgo64iLNNfMtYC5smodB+xGM392Re1FsuYW5Pahp4JD004Zj0VauvyEjxPCOzcgO6Ve
Ur0vEX+kEEktlngwbHaUXmBduXpHaixZOgEQOHmr0BkZN12Rr+tlCd+RHDxGUxj4sJQRh1aHhBwe
cKki3Qu8VF6HTPk61EL67DOOIr3ZGFVxY+KM9IkSKtvOCpfDEvb6IYoA32ZE14mZt3vuMe6ai4Kx
TbPC8Achgp2lgQWMidMd6hzrUFAON0tDgqzKAPOykF5Wimn6SeogLg7dq0SnvzfM/O0onL9u4xEA
ah5r2qVtBTlIG5JVHbWHXiRf68oG4pd1BVslK/E1Ao5RWDMSCkBO+8pI/jGTSciASCQxldUsM5IT
Ycn8IzUp85ODTFJORCqVlGxlrbJWy2XekrqMxxjkDuDcTW6ztUunaSuIaIpk7NyTIXObDQFOwoHX
JYFONWxtLyPiWRH15G3LxI7wZyBToIyYK7qNJEPb1qy4p+XHltCoKdOjrTXeDRFP8Ja3iJfKjCmp
vAvA6B0Qh+1ACDUhjFoRSo000qmLzKlagXU9B8kGgdslX1gPWkRaXYPp9iJDroyDK0KvDOopkRKD
tQIWVQvB2Fw0uJFIyrpEZnm/0QSa76GLcy8KKgN6O/la5qUEwerURJQoJJKeCkPjMXuCUx+UE8IH
iqO+ncfpSaPk3q/6OSsPlYvw0Naa6RSSP9h/HN3+eRgbnPj/+woKvXn39C+v6Zf/3EDJX/njA9nR
iKPQkyar/ZPeHA+CZlPfZDQoM2P8qu8bKPs3fiS447hkxtg/yYDJ93OsBVxWNTn88lQ2wMH+rQ2U
MH++5vA7fZBgTSyibMLkH+Xncyw8kdIKebCBBYnLDfnMZs0PjlhnUD3iRnfQ2DU49kSTehlcCD7D
3b42tfehVDGgENs6jFnH6YafElDK/S4sQ9/k7wOLDXKesugRYYc4BOzkeQyAemoD1LyhQKebdfAT
7Byst1LN7nVU5/dmgzq6HnV4EelymtP5PgwJbajxQ5Don/I8Li62lGSXiGR4rCLOVicNJlkWPQQG
0emUTbuT0n2YevEGcpFxvlDGT0Xt7sj/HJNqmjfqVPhUdIm0jARNQb5nSo3IgB2uUW9NtU28wSR8
S207wpMCTbw8tyZOv7DTt6nqRl4Qti9zrIErCcMBENyMHSIOtmFc3xnoT2hMEzUx2F41TbwfMvur
pkW2B33uagjrtXCWEF0B849+yneQqUEnpH20zpp07ZrLbYBOZWcqGn81fTwcsxixd27iD6jiA7xA
KfjO/KVTXpMkc5FI1JTWy3g7LmPMUQuCrDLAnNMQf0lC26bPnGs9LECodZoHnZquY6ffJpUN4/JV
OOU7UFQfv+rEbyX9N1r7FAFR99oAvplhd3izdbHSZTSAFxdouCGH3mIw6Z3bnVO6t3Aiy+s61871
lEy+WmuVH/N0WtM9ENtFiE/GAnEwHdy1o5j3uFbdQz0ku9RmpGvVwZXaVoNHqnrDmvLIEfsabsS6
y1TiAcWmnNyel3/84BqtsS0m4XqBJBm6GdSo2D7P9fxFlPnGKABhcVzY5/pwO7QKqYhlfOMrT1SN
sjcCMtoFb4m+qrX5moWOzjoxOru9EpwIQzxjEGT63WhiH4eF9TVSctuvbdYJ/lxwllWXjZliz2rw
J12Fg2IfqrBsbyZOwLL2GHZkSCpqi6blvDqVMzKY0ldOYMOwm3adHmxmk1G/HjSPrgHZ3ZiLnZFW
fAluP1VP4ncEXdmb/BU7YbBV8mi516uSGpmYR8bU9p1TW8dOm9+yqAaUnpq3WcBazkIuxyYNZsu4
1mgd+amFZrFoo9dkqdx9V9qvkzTK6bBV1iZ9MnB87U0HwpIfxHNAeXdtN2N1YLWIdBelQZ0aflgu
ACVDp19p08yvmGgEFGM4bxIteM8qVJDNDB0u79QLaUsi1D3ZpWChGscRyV9Uq96F/bJW8ArhzTqM
iWjX+LoeE4xxvGq77hQBijzrKEHeVDVIP5WqUe2ywQGYj7WN/PU/b6dvAQlO1v/97XR+AmP6ny8m
mUr+3xfTLy08H11JC1KWJohA//5iwsUrYGcxQYFh9S15+f3FZP8mCboGmQlm/IZEb/2NmwKByD8O
WCiAMgEyGLJIZJZklvw433NIX+DfU5eLnkefa0gLXsbwHvVUzUR9yTf8UGw1pHPmrDC2dz/DJCSE
1QO+zF3rU+IYZ73s9pgu/HpwgnZt27hU/Zh9431WuhQ7hXoTKkWz78Y4BLiRJcqzIK7DvEPTofbb
HwR/8wPmL7H+rQT8533S36gS+l/21t0oNQAOOlPXpPU5SUNAxOO6xhkw4w4AqHivw/VYqVIroDbj
3sIzEMXOAQzKGj/mSwPTBz3PuAoT9bZKxLXrKJ/F0KIsoLi0CrAYDBVv3j4o3mcpOIgwHQRSeQAs
R4dQO114bD3VWTLxEy4FCZgSaqlM6FSWui4mhVBFqVCVkbbBw2FTQ1RwMIxTqXiE1o5ab190LA09
toaltz2S5TahOyBRmhiOzVA9RNLwYNgwejP9Ji1bvzOBXsa0DBusEF0zbgapidCC0c+r8l2oGsP3
+NbtK/Qxen6qwnyv5fPnFOMEVLJ3tTHntarMNudXHeNITCJLUdJupWfprm4ViK6R5Sm4btaBYGZv
Mti+COZITB2wnQzdCDW05Aokwe1lQgwhZ3bkO2m6eMVUcfxW7ZdoDg+FTs6SMoe6QljsFY7YM03c
9X1zCTLK7DrbFmq1TV0x37L6fNuZkG1XOA33XM087gLnboIKoJdCeFExbAw1eE4BWKbZhBS3n9ZJ
MT2FVolPF3sexiLW05K4G5GYi3TlSW1gSTcDZyON1pRGUhawgXMmiDT4jooaV/SRdcpGHWhsIQ8b
hB1El5N8EyF5C9tN1kvT76JhWiC/ZoYPSoYGSa5t2V52m4zP/1VPNMdWjD13u89ElnZqLz6PA2/6
MGrVddcKjem+SE4MFjFy0nelGgWaCf+TsiomVI7wlIPtrGnqVTXp4gbGsb2L02Hr8lAmNnzI0zYA
oS+eGPSbZCzn+GLrML9cOsOzk4MRa3n5zHHmmWPxPLflRgzxlzIEz4+Cww8jvp9JNmcXGESreMq3
PzzUrv8z3PTz4ZVzMLNXiDFM5y0iVI6cOv/4jKj0CRq/4mqXLL9PjVfTXP/lavRPvgSncEtnyMuT
kHX+z19irsKpTWLLuKTtc59ez9Wnwj3984769o7i2vKrd9TrW/P0Jy8pftX3lxRbANZIXE2gv/Nd
kFP4H7o40EhI8JHbosFt8a9+vz0xZXKRW7Bw/vek6/tLCtKjDPg7/AIdfcrfC/rDyfrjS8qhlwjR
nWkWvFRH/iF+/ADSMZxb0WnhJXBzQm0IUrsWeEaGM1Xvsgcu+quKYRAgwPlgS71qkYcs8PudinfV
kALW0TXZj4J4ZPp6nAChrBY3gVs+sC3A3yq3tqtOKl2dPPusSslrELuub8TVi9ZX3Lmc/qqjVzpo
w6OFIVbDFGsKtthxGH213GytECH6zEJf3RVkOMJ8DDw7MIc1f+xy02OhLWOFcbImHnF6F+taqmpb
HWntqFjGhhHa+zC2b5R+kERKxa1TJmBSsN6WaXSDAvhpwYZLGRCMtxTklia5rpS2qSnluT2SSgDY
EcMzu3x2MOzC7LpihIMll3bnupca3rbSrhW8vEkWngEQHRMp7E0aE5tGLK7NJLlWC50LSswZYJSi
34yMwdYy5BumHV8wzgIi0Pp4lUYOI+mIF0ymJp8G7MGIXxG+qvBgWj2j85q7dy2uYZ6iN20xNpsk
w9+t4COO8BJH3XTkTal69hjBf8RdHGpwD8OSyLElxcZlb2IgjVuHEY263CO7R5fFCx5gt52Q8keP
TGsr2QChemVdMh/CIdJgWqlEv6VYWadK6le4lq0a57LhVCSPg+BmlkLmCB77Zg7ZqbtZDlNZipsL
qXAuLWVbSl53bBNlqb/OlJe2bajL7VBERC20UYrihEZxQaMLYzOa6ADZdA2k3EYhTTrmpXMjnNXy
MgCDIfczqZyecE9nNmeSsKnOzBgxlIbAoIFHbJKYZq7K9SIOtM4fpM5aiPqW+BfqODHw6pPSa6e3
Ta5viLAbhlIex/6XvlH1VQX9kMEh4uwEzSlnF/lOSdBqL7NzpkvATXCy3ppqAO7talfFSPNR7/go
k+ya1uFA57sKSadqinVXYPEepM47JknFANbOdl07gUIPxztF6r8Dsl+AW4vVmAdyMVNQEZC68Brm
KGPdCZt7ZuzwpDy6iXgm88T7Etm4mNqzkiu8FBUH1jlG8iWqn2fXmPnm27W9LlrXumEc3BkHbSFZ
S0zH5Pw3NTNHghEve/QwIaPbCOaiRChpSs8UsWe906/tMX9kDNdixEUXFbRdT+hg/jyRumM2SO58
iiVtDVlvCfAU0WyJlKQft4DTfIKiVB8amj1aFFpHtBDg2pwooUNefFrK4NJY1amfuMv1ZfEed/Wd
0KN9IZwjY26KwslxWaKtID4XKdFZTaiqlDNLHrhv7Kga4xbM17DW+H03WNiOjk72k0jYHjC/8Eng
Po5uuMP8dmRh9m4xiEc9KR9Nhl8G+Xyg9PskZNTjgw5aT90IpX+wDvHSbZwpnILeS+yueyjCeig3
U1QZCzaDprzTgct9JtA2kk8UaGUttR2aHVI082uYluaha6ssvM7CLHT2Xa0YXwMmlcE5MWlL5W7a
rXs3eNDIJ/rmJPhoBIyUAj4vO6NEejsmnK9HPne+WRH941P42Bv9bgEWhWjM2kXWEnBRJ6PPUR93
fBncOAjEpgITIxDoxaOhdZ1ZIWEbjSdcXsU8ntJMUH9I3sPGvmksulDKaG5mGpM7VBmZZzNCIelJ
qnD4XJtYePkp3joBLUS3B1+lLteuER/7dDa9qlKf8BICQZcMtzG/1UYt87ouaHd1psR81oLLnKrC
mzuUIAoQ6VXB9jTdF9LE3OrFk10Oka8Lzpk2uuY4TZ4F+uYymZ4ndM5FPVerBcFzYGB6JpWbUgNJ
P6nTiT7/Ok93DqPmYtmSudoqgwOnEG/0gEDaQiQNfJtYHTMeG8W0RmxjpTkQQDLpn0ZjepdLI3Uk
3dSNtFQX0lc9Uxin9h3T0aTHCf52qw+q5uUje0Bh1bdxYrKNbuxTUNXXpXRi19KOzeXmUx2JKyPC
m22G2OKbhksKSu0UvmOJYluhnu+VqvWQOMNLMmLhHqfsOEovN8msY4BOw6wddpTxZZYGb4HKu5JO
7z6pNrGr7qvW+arqtP9Rg4eepTBF6SnMFcBWPJOsXTFnzJPsO9uF4qChELcGt9mM0iquO90xkZ5x
mmEW/8Np06AgNzpc5H0cUTJCT47dheczN7N0QF2pxHeYrZ7q3t4LtqQpFMIBz3mq861WEUI1PQp0
Gxd6roVvCfRfk+tqqfBvA6zp3YA/GYt6Lv4xs/3Pv1kqHL9+cZ58K17Ll/jPNqSCX/j9SEl3lP60
zhGQO8cfBvKGPG2CAgEdznFfxiD/faT8EA4xsnRd7jk0uH8cyMO3Iuek/ltR9DdmHswDfzpOyvuM
qQubI6XD6AWJwB9SkjbtSId8hnLRlMzru5jDg7G8BSPh/tTMEJpiNiXIvWk+XKdIsJpbt0GAKuxB
QYZql4hRww9Hqkt/at23WvPAW8ieX0zFYREVBflKyCJWgsmMob6zbEPJPGiZ62zZDtBlliWuqYsn
f6gUd8NM9EuBDPklrCl91WKqNmVEEWzsqaQNshwG5XvydVkY61PRfK0+SmSyTrbA6D6MhX1IEiw+
I2kSvHLkDWmh9aJ/xmekrgZZUOPmTHZD3orprs2yxJbbpg+TfLhyZMEtb5LQB1Orb5uZxuUsi3BN
SgQQi8BKn/F/OERdVkIW5xYGraKb2uukLXR+iLvscZBFO017iI0WQrOSXsV1GK0ZPd2wfS1WVHXP
swq9xRnjy8ipuo3HjeXwjjM6KDSOLPnZsu6HkCg+FB8VQFkG5L2o+u1HQ7AJaDs6sjY4VJQk+LYo
F9xALDFoF2LX1L0OwXttUDxMh3K6WWQZsYDQcTPRTyxlUdGVlcXgo72YLku8UZQ11VlYK9hrEtlz
bGTjcfkoP06TgWLVkZXIJIoWUjXs/O5Mvux2+LCj8cEu9kUzsEhtKSsGluKcYwPW2Iq1NAgUfnFx
1uo+uNH66DGLMMREhfUUNgSbR9CBPmO+x1TrQj/oqncVcTJ8lfDE0BkfUjJfMo5RqJby92gx1yRK
cY7SEPVy27A9o3HYdRcprYXB2jcDvl3wF5o3JDOYWfp9Is+3RsQ/3Ib3+GT2zsqYJWUAgPXIH6AT
fcDudhiFcR7MSjnMuk1FlRjOtfmhzGo4fwAohaTtiRZOV5Vk3ampXS4TfNAuZFGsTVOb9dEyynKt
lOxRG3KuxJX6LRy4r3KM0rE2QqAxtYdxYiuQDSHYFCNwrihfb5TcfRVKi+wwvyn7/j5Q9HNb2USi
hVJdzUo874XEBTAq3ykm46ic0dEnNQkC33HeOmU6xhnZccM+zRGBAAzX23qafYszAv/NF2cuTmae
f10G5Whq8SmPeMPEvRmcC4dDY25VbG0iWN3zFLJKz/asHXZpzTfJidg8jEgRlcQOVpw8n8J+5CfQ
ii+M6TEnFcQUlW7IAfDUnmZle7czfadpnvKG/A/FCpqR7xaY3Z6NdAPUASaupw5MbULB/JFRTlQl
exs2nUuIYdRwIEYdEWJewvcOaQZh9PeYkxzUiG5pced1rUPgLO9Vrd2aS7+30cXoee5bHRpHNZqO
ppJ6xN+eIkvfWs3gtyF9lMR0rtu0uHVK8eqm/Aznmf7WufOtATB4ndcVa50FQJnhVXyPyb7Td6Yw
QMjfGxaVXX2Qv5BA+jTKz6OWJvumj66XcrrkGLcofrNdK3d2XkJU4stnpnqTF9MVqyJPUAcpgn6t
sGWMFmW7sHwhR+PlFQ6vdtoopqxRiPjFcnovU6qdQgU5jWx/rspLgXDaL6DEgwUktN6H16KjETuE
u4lNCsjhExfODWYDDgRiNaeTV/MjQrbRCxptzdjcC7rsrcneyqC/neiYJY66m7kIx2PxxeTK0S6w
6gy+BuNHIxAXLrl3bWdtDFwHZjjdGpP7KUvw87oZOu2SzEFuoBwIXD6BWCGY1m8cN38HCX/FE27D
jdxrI2dtOXS1wzbaMw/dTUvzRdW6w2I6d5ZVfXGi9jYc5ps+fy3m6q1WseOQf1vZeryBT7pp8QWn
IZJrlEOhHt3ooEfLQb8VAZMGpVuJRl2p0FcrVd0p7rBzWmWjRtldYpanztTu4dWvbIRCK8us/ECB
+aP2G34Ur1rX2Wh6e0BIzBes/bDiL2wq2DjVQQFAUbyMffmF34oRBOGFuTWIZiQQc+xo9AAyPrVF
y1BXOQI93S+KTZvPjlZDk2Ld4SURVUHtMXZgOGvZW9END3lffO3gCMyVvWd6RKSPPn/ZNbvCMfcq
yGg22y71l+HL2KgPZZPclorGiXraxEHP353rh0W3szuTT6e9JXp+A/DkWFFZGZT+LovtnTMFF1wO
+8LID0OgndntOquiR+uEsxkmKodThBGjc5M04MS06bGypO+DGTdC5/ugsW7apr0UrXlLK15dAUa8
65loDhVXwobtWWFmp8wMwfTV6mpkVtLIB9VSfpnT7igac1tV8ImY9ieoMtpRztEKjszFfVPNB02U
R0UY0UUJmGMTUc3uYERP3iK6Q8PQYRlRhUONUJTklZvnfdLlnGrp3axcu3s0aPUJI2UZDB0h1l4t
SP1FV39Jm2iPF+nC85ZoZJOykGmP5iIz+5mdeouqPUZmW21cPf2UNx28yindprp2TZwoYVvP7L1E
nU3YYRekljcKJffjpfQGKqloELCkzkIKWVHSFtdcoLdJMB2mYn6tFCqMbfLUAeCE5UiCPSCtlAy2
3/eh38BC97jmcyTvvTzjJQHYYjcgDhkGcwPxcRsO9gbXmc9cnOdPy40rnJbNlBfHuQuPTWd+Yo5F
brRDudrWqw7amhIB/C4EPjeVOwSb1kYryQ5050UZH9umeukd2ciCGxVk03kwuKzlKq+/H460/18T
b5OIv5AyGltzyXz+PHDsxqZp+rhQLmrOUCVdlekt6vpvS9P/qjGSdZ/fs83fjqH0CBj76yAAdIkj
/HGqyTxQtRjJKv+PvfPobhvZuvYvQi8UMgbfhGAUSZHKYYIlWzJQyDn9+u+BOslqX3v1O+7hvW4J
AglUnTpn72efBudLRWOifRpyPPHLFKXtz2/nRwXvxyt9Mh7lfj6KyedKGpmXBqHoNlmV0y637qP2
WebWLywa/2zm8+nxNmGExn9AL+77G0Pv0Dp+kgfnTnlu2n0ZfM2Sr//+jqiWKZa5DJEFny7hW/Aj
3LEIzwQzRv2mHcdVEnKoDDaS+Z3W/E7x+p9f1Q/uyBBzaikTEAYU1qcTw9yb00a1kWeZYcDRke6C
ZYp/cU+frBbzseS7i3yyUdW+0piWz0WiqkIncYArv/z5p/ar25j//YMstGumpqsgeJzpRVoY7mJQ
+/Q1f34RxtafH+vvbuPTV1PEY1x0aS3Pg0Ias+m58gwBiwXuyUTPUp+0tv7FFX90W/TEgZKAAzLx
Mnx/W7F0kCxFQp7t8grxoofayPa//fyufnQNHA+QQHWeA3Dv31/DN3XFcroqOqP8WKUWUBAgfcnd
zy/yo49OxwxjGrrQbc39dJG8D21bStIrq+Ipsw4hJ8WIxcD1CdTYGzQpe//q51ecn6lPaxBL3N9X
/PRlYc3DyitGev+MW7v6AaLTLxaDGSD14RKzC8QUtoEVGw4EKrzPrsc6N7AjDCI9RwdUADs2zyPU
npV5FV6bHjGua2IZ1z+/q+8v+b6yfndXn9Y7pjrpgMI+OncW3r0AEgwYMS3f/vwqP/7sDD4Sdk7T
etf8fXibrAl5eINB8eyXZEjR5nWaX3x286f/+dthJsfTBvZ1BsB+/9AVtSaZfCnRGQXRYnQ0qs1n
aQToGKJf3MuPPrGPV/q0wDGlzytElNFZmG+hc2X6N+X0i+Xtx5dAji5cWCCYhL6/GSnizjGmID5n
2cnENDeQcKa11i+2uh+9Qjxsf13l01cfV13YjAFXkfHXRMGjrKwqA2FZ68XNWYk3ifmL7+gft4Uz
CaG9oSLgQZljfCoVoD/bhNPnybnpNmX13Furcrr+lw/ap0vM49EPD1rWBXygYZmc+ylbCAXgXvRH
YMj/3OD+8Sy/X2Ke40Jnc+mzfX+JaBhShRi25FwnX5VpZ/XyF9/LPx5lLgBmHhWBSeMNy+L3F2Dp
tHuRTemZOi9tGcZGO4lMMnPf3j+r/3TSM5L6Z13Z6uvb6z+n/PNP/dWSVX9DDYpA5W8h9F9TfvGb
ZmBOJzARNN/HeHgdtA+VMEYWd4ZP8/J+1EjbCENsCHw6ievwAP+VFO29LPx7tZs10oZtUTFiOKRm
ND4X3bqi0Qsp4/gkVKOpLjAXFKonu9RQmNzFNsonq0pHry2jEnJ+vGwB4uBP3Q67nepHm2we784t
qMa5p6sDwll2t/htKlDASR4++vPEx2ogtI0UrmQ0zuMg5NQm3rptoZnY4xka5fF4GpSko17RXnwe
ZA9v2b5g0JRZA54xRk8DIyiydad16wz3jOVfLYZUhZ7zC/Sp2AaDiVjLybdG7V6RVYqGu9JWaZTS
Q5rnXkXfxHc+ozA4/ZOHJQ+YxyBODuOyPsURYs0TtGCepQ2Vs+0srIFp3G99S3sy5rlbn48toUPM
4vK87FYUE9G20FPQMJXteGbuM1orw8c2JhopM4t4E5D3spgKVax1sBzMjHWcgb3VhFvUUByBS6A6
oNFgmsGHUZItZpZiFRuRualhRu8hLAbXdmMPD1YHBDW3kTbVgzRPEvmHFwgpLseRxutgaOcwoxmY
1QRbWyW+cnK163WYp4KeQcqltcgh97hsttl7oGOI1W3sBA1TEsfri0hU2RVhifreKSpOfqk7wlqu
RVbKC8OG6L1zYzrLa62frTF2LL6IUsd01JKfSXjYMewwYvik1zQIykJ4b3PW8Vo10ysD7lnvDWMO
CLGK31CGPJR1fMhVJAOp3W8SJoIeHoFj5SokRBFBH6ZyaRbJ9RBmF4VWPWlKfIh6+EKllt7qhI+t
mpm4zuBNC+zLLB2YcYaNHaOjGKW20vVOh+FnhtF0xBCWLVSSLuIiYv5ldD5d7XDXpj7EI5+uw2Bp
BHZOwddpYNn11TznsE2HNAcDB0UgQ8tcmV/pPFcLE26Ah7GmXurhsGpFs7RT1PtDM0BEz0z6ZF3k
jSOte0iUl43Vp0tHNRmqBqlkWBYwFOe/BBK4CGm12BygsNvMShrTJdxzMjpSz2W3VAf10jbB1cYV
CoSxAJGjqs2esDAY4Cata5nUCg5T7dkaBFKZMb/p7YEmxkjCjJ/VNiJnylbmzgsmQC6qFPst9YPX
JHcSj7fLa6IRNgmFTWsiyxw7muEqusi2HtNVLmZIbE7SmcOjrwqDFG+1aoBrmg2lnEJDmHl4ZOfx
RVY3+e1/+8e7SkyjpPvJ/gE1hXrujcNfM+5e/9+fo0B+6M/t490q7nCsn5fmOfT3g0hM/Ab+Dfab
hit8Htz9PdET+MsJxvrDYGNTPf2hEXs3kc8Z3rrKVIm0q38lZJ6Bsx9KZTYPY944yOwiZwSl2jue
7UONVOYlM+QwCs9lS+d7W74bsk37JHD68rgH727t+HfrNrnsqovqafZ048loqrXz7vXu333fvVNv
cTfr/gt8pEhd9bjglD03XfsXguEKKOZJUYKzEWegylG+hFgrsKUN1LSTOSXSS2rXn/3Fma2jGBvR
49MwBKs4YnNp8bhEFVbKrf2eBJhEprLQB7hj2zKo3Ajoa80eUPZJdQrecwRbnVC5FSB9ogJjx0Ix
NCcNmig/N/89+r8/+jyPP3v0fzjL5mf+evLR3DMwpnjVGCC8P95/Fk68FBbBSSqtWaAH7/yCP+WR
DKxhF6i8ExS8SPk5ifwpj5wTmSiBXdSRVFX/0lwGcfnzs0/4HEdrhBRoy+mCzP/+4dmvJ45vrdla
l4GeTQcCd9SCyYUTlsZSGciSmRaT36JxUcBrJ0unIf2QYWyKkKeV0fvwSU2OTivVlFFDwDUConlH
xWCU0LJ1Eg+daYxwp95MKD8ahjIPfYusazkRXYmqMQYYWOxqoxLFwu1Ma7hqyUNY2KGSB2vbJAS4
xeaGzBwcFDq2JrMdEoe6hsRIIE7IsFL6aUq99lv1Nsq0Y5VZcANT8HKjeo0YGpmWGLBm+gXCwXSf
lf5B9MP9CFQHWCFB10WRbtpil6QBk4eAXUNakfQwP6HEG8jqleQ1UxpMgKmG6SG13bNQKRYSHK1K
W8eIR+lt07kggDp1Lio639q8pcq2e2yYgC4At5JNp5rMn8Yzgdbjurc6mFStC+2mKxtPt6dhGTdM
GkAgES4EdgGArLYCSjcuQashQHW6V8UY9iiRULowy/ZSX7wOQ5F7rVmvwTVupcksiXS4Q+RohSeB
FLcmir+o7A+Es7ZeJ9knp1y/UQx1XdqttvZj30sV5LA+qVE7+izBYjDyy0jLr2EkeJxM9xLvRIil
edGhwBM2AUNt8sUYsSBXYbdsdNQBSbxMsAt5hMpdGH66qgoHZY6PaYIZf7SokjxeO6ONJlNvjqky
4XFIKoBpAARFEDy0GXgnPNmogUZdLhUrOLOcYWtzG0+UzUXXdhFKreohyBlMT7G5H0dx0wTDikin
DvAfMPksug6y7kAc8zK25WxhmiTKszFZFEjnt1Xsh546uGdqGRsPuv6WJ6LeigJ/rpnll6Ygai/U
U3RT8R2tmnuypHHyliclLBhoubGGNI+11UkitKjpfW/joYZB0ar6k1q0+dKm2O365GaIzR2qunFh
zVPP0KF9OdYRmkpVC/fA4IBVuxMQjr5/yNgPl5HWPAx+fy+M+taoKTuBfmyy0D1FtekpEUN3s0E8
xqwNHWzvtXZMbGEsoIOizdKb9saPcLLkkWiZrAW7oDaCbdmU1601PTGzfSbBSsJpg0ruRrIEJG0I
z1Dbu04y0RQxhMvcCi8UJb9QbfeF0BLc7kGpEcQhbuiUrmVl3Ba1ulF07Giq7Gm66DcGEuulE2Is
1QflkiDbo7QLxSOJYD3IBAWHnW2gZ7+Qlj5s4Wxv264y4Co5LpkepGtz1sjXTZM9RRlZI+NM3UyG
ydm76ohkVzD2Uadqjj5bpz26OV/DVQED1lpYSk8s2ngSwmBCC0w8r8rLwraJ9vbDC6w2ycoSw1ss
3evIgGNiEXnJiIt48noav/UdCYldB1PQDzTDoyfnQCaeoYk2IDE/aW9gg/HocGKFJq2gIy7kyHQ4
Nz0jD7dxMLxYYZORYznn91jusTXLo1CMN5ysGI0GEChEkfBAoceESfStQp+J53M7khCbvQs3UXDa
s5SzQNOpzuJOZ1BQeLcWQ2PN2AUQVBZkpM2unugoUIeS97UZUYvCpWUcSb5lEu1C1KR+WH5rZnkp
4ujDiN7UUorbYhag6iNnJ3UWpbqzPLWahapgTVb2LF2N0LBms5jVnmWtCZ4Rcxa69rPkVXb9vTuL
YNscCEs3C2Nhdj8Ns1R2QDMbz+JZkCSEEQ0aemaUtVr/1s9CW3j3cpWNxj600qdh5BMVLrPWvtFA
Xub376xnvcYxZdAbDDD1jzH6vElnoFvnX13NeJ4q9VsneBiKzLotKr4wKF360kwaQh6CrFyXRKl3
SOYhPgsq+F6BPttdolu45laROYWnCbY24pAZWNYp2mJCRm6zuS9DR92RvoeYwneGndGbN1rhP4Y2
lMMqkW9pz7TXN3oczzTHtnXc3ekZRELmQ2SjQ9tjKP5flfR7lURt/tMqqXmr3sYfnBH4uT8rJU39
DdEf/V361XOhRBH1Z6UEMgWUM/1Fy7L+YEb9WSlZv7kCTefMPYFf+HeZZJLoQio5jSVbw5Simf+m
v0T6xOcyCcmozgnBoV01g1Y+tYbTgiDGEUTjZapP3ZpUFWOZq/aTzbE4t9sHVK538XTlj90GnelK
K52rtgnu/IS0M9RRulcwmi+z8WgdokD5qvfxXaogmhB6FW3GKvuC7RZIfU8yaxpt1YA4S7YWhIQV
iQYdR39Me89kfxVfRJNJmH5Jv2KZ87FSRCimQfL7QXWR9YwxIz18SNF2YON+mtB/JIVTeb0sX8Yo
vnJD/aWyxOPQjZpnNcMRiWvujWFMykoZ7dsWUZ2Z5t3DqDrPEhHvPiM5YSV6og3UIrqL2+RZHe1p
Bytj50NPQoc3badSe+7q9NLNyE+w7Bu32sSQp0o3p+sQ9XdtKJ8cqWx7NX+oKyW4sLVi6daGl2Yd
wZXAUZPxchjlpdFOLLrVbKAJX/OiOVE9oq63+ktX9qAKpLYz8jXKyEU4Ih7SbmbkIBqpJn4qtZDF
r4g2dT3NzbJumRgoWxqwG2BINNQbhr/IzbqmK+Zmnt/rKBWUg5Xm/TZv8L/7sl31eYTGyjqgJZ/W
BsYYr0uSbZknrxXagmWj1TQ/KnVTWVPomV17Jiltq0ZsT6rfZZswQyUlERImGddLEPeYAakVdvVF
nUYJa5WxnDMtc1QRg+W7sz3jgH7jlBTuZVoYSysCEYUZ4NAHM9XGXtomGKnGQHOVqPgbspAFPkBH
5Vl9B7g+BoSa2IQzk3CQQseHDjBKF4FeirS9sV/Q5u1wqTTrtkbihKNzVpZe9bZVe7ZgnlrqJD9E
pWeU0XUmqJlDvjml0O9MVOJlSqQmkxjnUCpilzj5sYiG5y4d7sO6/lKUhE6KfvSXk2WxXZJQBHeH
wiSOmh1pZfmyA93dSo7PEz1bT4bplV8bOpiBYQsbLV9XHDiAVVn9Is53uiYjfAlI33BX5kVxMqCl
xJa6MUWC+It6CkAnkq1Ev4mm7BmuOW77/phPnEyQiF5g4TiohLJoKdTmRC12Tud8icgYdcMAG5KW
4A6qb/ta3hStcodqYadm+UULdZLY6l1MHoSiZs9ZndxZccmHOvUHQ6/2oIGObYfzFenTVZJ2G+Li
D0ZrIdXvt4Wb78Q8HxoNjt/hRWCgfKtGfV/AuO1r9ayGRrJuJyIEg+axt6lZamOirCJDuSVKepzs
i8rVrk1Z7GPZARwYW+4wbXdRB2pXrY5BYaNp69C7krCBgvamzusHtsQ9ed3HNjSWYTBeZ2oC9pmX
Pk7CNbOXhyC2N2aQb1NLOjtMKRurA2kg7eaoZ670OG/S0wx2nDKvUqXzF4EKKqmtdoR+PKoDzE1H
TZKlq7XXfWgeWoBzCzjOZKBN6SOtiK3dslePzZKAKA5nTnbUE+t5ctxNr9DZdCnTZPeU4YutTfXb
VActtjDOHrX/KDkEc7SblCy91uglecSZJtrayU3WvkHXL3A+QRy3kr0btBCC4t3QtM1CEe4+DMOT
0SV7Pxj7BRqnY+/jkpJu9qWTDXiSKrlUVHdT5u5lBX3Zc/phnZaqgHQh7omlPAwg2PVYwQUd3Uzz
V6g75peCNI+8DvBt9HsRKA+D2p0gd12qMYYKy8b9NPYvmsIxSBYBGseSCrzhu6iEuc7aQG5KJ30u
dP04uhx/G1lt4zzaxFnRL2tL3CNcvCjrbhGGTApq5aqTlvA049YOWsCy05cosW+AtQSHzCyLnRr4
10WaHZXZz+6TqmdM5rMorA1BvwtD781t1AAd76tB28YcaTUteIupEOkV5ep+tMeDEJTMQhTmWpX6
BnwSOR9JWHjaQG1vBeq2TtvHupc3JUf9sQ1u/areErXHya937rNebrjnW/JwHpoy7HaDcY5jFGVq
52mRBXcuHTamkZ/6JriVKsQKx+q2CgzcZnJ2VW0Rby62VeDy0YiTQhD9IkS32LXaTUzzdqXSjF86
1dyAF4S86NaxTtjvV7SDNQAnfSnvzVQ2LP5wYLQMiXHqJN06LC2ofWiopdPxdtKjQCy/sGYMDc3q
LQXjxg4y9wy33kHnC7BmUiS46hliE3TdsOja9EuHGcmwsmjNDoOU2iE5qNDmdnLA0KPZ+rBYlsMM
yck7t7uIkoGkd2X8llU1knhscvEIeVifMTv0sZ2VmSQPcK80TuzAeGy4rmsR1raySCML+G0aHJhG
wespRfMYCZt4RXOqFGY+vXlV98T7JM5En71PDFyjDKkEg50J1pRQDqjwL2BanzUnXhtDtLK16Z5s
quugrEhN1nAQ6JmnJcSrZKJ89HszmmV4q0rUYGPjYdMaPjTBpvnSRYALY+fJ8PVj1yMJL+QSyPu6
8U1USPUtetBx6djhCyvrvapXWzwMJ9Uc3uD47HFc0X4PUQxKqv5a0R+LydzbMj3CgNGpkFOsoEgR
C3SULVs0vUlkrJVPyKu5TOL8uqljiTlp2hWBdTAHuRUVfJ4Y/IsLXzdX46W0gRpYkX7l9ulNAxOi
y0dw3Vl2m8GVoTUR7zl07lRVObqcXCmFNtpQ7hrfJV6OpG273GPnfLAMfZ9k4qLS2Wl1hzyA4isH
Y2howdXgUykQXQmjLVxVnIbNsnlLQ/egEEpKeOxqIO+hdZOv+JEJECBwOlfldaURMadJzzXob+kp
3rRBvaljBY1hpige4RYYCYMVQO613wVLd+YXtG5Nyg2xsa32iFLBSyIxrE0SpnQmY5QW5YIMhJLV
PX5M9JbBl0nyDZM9N6bxC3wJ7Hh0DxdyAwnmrHYkZcSNuB17xm5R8ZDTB+TkDGxc6eSrX+UdoLm+
ZYykX/ameukHOrFQxJoyFV8Zvr2JXLlzpequg4CUkHgCXmdeNoXgjkFBHSyNhyXIe5POEh2ukMyr
lT9azikX+UVm0E9I6BWHjXqVGMohacAbKIG+rmv8DL4ZikVFPvk2HK0ns8c04LLSIAEdDsPgoNzu
84eB+MFCsZ40jRzrQpaPKmpcoJrtOq67BL0md+34YuvOS0+JvrzL3XAbVEnkMXQ8Fgyw4kCZTopW
7QsxI5nQfi/LKuWkOEDzHMtsafC/wE8tRVfeBHIoNiA3d/QMMGI2LckO865tGo+D4EWLGF8tqwEZ
djkalyKWlzGxwEZkhDs7nOoDMVoz+0B/0LA3XvSVf+XWyRN2DWM7v+7EWjCRytjNkYjoT07Y3BAI
dkUfUR5cnRBZUeyCQr3VcC5OuamiF29pZORLNY0PZaBuWhvYVGCm3xjtJqzlGodZ5zZu8gvJCT+m
HdglBBDhU38cRXntDkRSZYV9GYmAMK9ondjGSCpcdF8m7pMx6NfIJ/O9qUMUauFbrLXGeJpSd+eS
k0BSuqQH0/GLlVKscyGbZZEZ3RYqFd4erEL4oI1U1W8GEWkcI6qKbi3BJIZGK063lJUmpD9F3ocT
3/n3UfzHkBuOYh9mLDMnzZ3pajY4NGBpSHj49w99Zk2q6qBpmTxFBcqN7FhPAwium59f5JNQ5I+L
kKYCbgK99+dmduyTZaPUtTyp407JjirAWsW4bfrbn1+Gk+g/78VmlGUwOpqZAt/fi6/CGEORTeGu
fevzO0X/hYL4B7+fzj8oC4gWfFyfP6uaeMw8t9LklPU8aFvHf/nXfz/EbI1PiA9qNsZ9//cH9tyg
Ncv05HDuMM/mH7SM/ykI+iQZ/v1r+PD5fPquiSgBbsZSesJ2qqReLNaVvTTot78l0fLnt/KDS9kc
u2d9kImQzv30VSQO/cJ+yuOTGm2RczfqoqCRanhsw1jHf36t+c/+W2Py/gh/97XMj/iHR1gVMu1s
K0lOhe7RfyPGg1eLNXXs1j+/0I9u6uP3/+mmMjtyUUH/fiG64mRBDeGafWTeiotfPGs/eC9xMSIj
n2MloHTMmrgPN6WbmZaz8WanWl/7yUs3rEz/689v50eP84dLfH7cpppQ6gAhwylzXiL/yVD+D4/z
jJ9iVIzeEYnS97cQlYnZGIqWnSJWQBq4yfh/WLyYkKlAeUHs6tYsjPr4IWVKRn1vifw02S+9fdnO
E5/mF2vXj750HmKG3cYMU5kplB+vAf4B8p4zpScMMlj15omLedVVdKKXTFN+/o384FowJTW0yHN+
Mv2n768V+lAm3cjMTuF8pl4RoxGOK7ukp77Rrt8v9Z+mbpaY/e+W5+1b+JLyHH8WRcw/9VfDE0i+
oWkmsnDQosLhW/qr4UlELjNhhrJM+mht8kr9bXMm2xoYKYB8JAsm0oe/RsPw89FL0Np23znQOKD/
jdVZfL/ezbIIuq1ivhbRd8A3Pz/1CTsHJxTn1LlhXC8jXb/jNd5GWaZctEmwEg3sCBOKCrSqdjf0
o4A2qlkr0bkXjYlZiJOxgEI/3gJcLzdtlCaA2ySxSVa6itria6ANQtC/aQd/QxepVZa60t7XaImu
xxRnhlVZPjDC0dpFpMhZpUYf1e6qI6P2FueuFq4HW3wB0vBNRfq1LfrskuJ97mzlMGvk0F6PYriy
6Z/OoSSJF8Q97JEkaxeVQ8olrmaqshaL0+gWWJr5q5whXkdBq2wF/s1VlDJIYrb9KjIUGsu640za
ZHg9LbRvi6BAZteAZiN0KxMnX8OhPLQZ/x/K+K0t4M3RX7iaZII5zFY5NbhMZSa0HAugrTCE9f6Y
2ByZ8hDDlLZtqnQ+YmgvTaJjjQ0AweVNZy6ILbimcelBYNh3isqkydJn2ko5bqZQYMRtq5XTlqFX
hZa/Uh3lrphqerDVtghVZ2eW05lD97ikvf2gl/bXvMovSwgLdDHCC+TjZ7Pxb4Nuzivuq2UXu9+q
wtiprXs0ia9ZarVieSIz7E2R5I9Rn1xYmXwaoqb2Rlf5NgTObGlz1zLpnk0kuUVmlzthhNKLMjoz
mcXHwhSKxJgwCA9SYkWMy1o+a1l+dsboPlZJUehThGtJZg4r4N+INfOMaW9doxqsnxxr8HJDy1dx
wHR3DGSISaMkbcllSKgmRMU6FvQedbil1vUocjudiZbaQNIXnWclnMICoz0XNT031e6jFU69r0bR
PIKNfk2DzFj7ungt/DgCDBs2FxnJbD6Zq+sgs7u1Nei+N5U0iWIeV0IYwNnR/U+rhRQcewpD32FB
dTdQASIAFTkvAg7eMbKWBjgyvZihGqD7VyKqUZ1a9Te4M9i7VYbzvPsFU684WUvaGzj/yYatXNcr
wSgtcMgmHIvCaemjAICtSLuA6QJ+fpe51nDSO3+rmdk5HLKTFTs7RZHrVtul6dLvjy6/szaam6Ls
AdqM9jlOrQfbTU/kWycY/aNx6UfDJhbQC0r5VmfNo52EKoPMhg0nKtxVbbsQ81y4qU0E5DUujprW
bmolvaOht4vLgHC0It0KjSJIG89aQv+ypbXDdJGnfcDpm2ikGKvJU1jLS9Mq0CXhQt1FpX3Q3PSS
2cImQROwcIih9HLQgMzt4c0GocDSgTB010byoLXyINLiKRFDifu/ZkIr/DvDNh+gUp20NDY2jC7c
5RAJy6NRYy5xKCFKCWwgLW2z4ZwDS8aaBmiF6XVv+Q+Tz99XFm0N1lBn6eHnghRlSoBRuIjinT9V
b2WmGyt4kOQ4uhrDGEaCnHXjhcvHigOT4aevXzU9NAddtiNy2tpYxh0zGLLHvsGt2BsSAkwY2khi
Z+s6bS81lU+Tpd/6AMa8CtySVzaJQj6yuEbq80RTkqpVz640BT6hmOiDuy1tNTr2Zeb4K63urqqw
3fiZdtuF9VHtFBpBhXMhK6Yevp1eJZyIB1sqFyHGImk22VJthgtrdFa0vmjdDYiRKZQSz8r6eJWQ
BIguITxOGeNUEyz5kg7qt2Dyb0vgV4tRaDE3FxabIYxeq8I8BblAiOr005J5m+aRN6Lue47o2wZE
FjwmesTldDXqer9SOiyZsRvcDLpctZqyddHeuG4Kn7GoLmBp00oGneSVZTrC27LwcVu5uQZe9JhW
Klgs9aVEIwwDPmzp43aXoB/vyL08THbOj8K0MTpjPRMnutzZA9jYRrXfbDkExOQUW3IWum5GW3yd
RHE0A9bswdVXhFetSlG9gQiFGlm+TEOwsiVvZz22HpaqJ2LCl36MP33o/RXoXYzErKYBOWAdDwGQ
C1bugqguuBnwQOkdjvZt0crjxGQ7blgopW6Bl0jsLS83suRJHgUM3cVQu6eKRsdGM/r7hOcWTKdB
07ZnMNVpyI+JQahMEJuWPeUbyAkv7J0VqdVhi25izFeqrlsnx1GcjQLmblPV1aOMxY2Ztai4J/eO
/uJTFIfAj1kXFjUcCIZCBVirQawnzfmiM/zeVDB0+Pu+VBFBzxlRizVEYIQhzMkAeE2X9MzNpY8k
mT3v2Bv8W1+E+4amxwLbH4hjJV+5afvqW6D4SVF9RQ5+iiK3Bonhx17T+Uda1S2q6TFcu7nbLREW
Gws/IoWWt6z0fMe8DG18uUVBVJkCyDxvg+1oEjNgs04qEIJ6JbsZc2QPUomeY7v4avY2qFFAFL6P
En1GUxC2cCNmWEU5Yyswle+KJmQrzgwwAjPcAuj3CFRI1Cd3Msj5Sb/FMwqDFLgTUppkUUPJUHWZ
ei7cDEchSh6N8VOPkXyllLAtgEu/xDNuowiUR3UGcFRMOFjNkWUejS7chNIwFXBiobNTm9gtLwm8
zENgVFINCMeVZTfR6XbL8D8C5R/EIMrO/11HX751L68/qKM1fuqvOhpvChJgTEJwKHFwfqyj8aY4
KoFSxEvPDhFO0n8KB9zfTI3kM1wj6CznH/9YR6uq+W4lcUAN/TvpALktHKb+bhtQRttzTW66NCeo
6fkrvj9skddY6KYvx5PMzvpoN57mM8MaGvdumAibU0fyJ10tOzhTcu2MxpexSBTPRioHqJZQInhm
6sJu3Is6dk+6Sg9gUKwvVOTHpHXvp6m80/vsG576dalYBVBX+ykp0oKN1dI8hC0bVUsPWPiBB/id
u4gnesYq1SKZ8waj9fjewi+y1qnJAbGVDNV5S3LNfIwT+z4Ypy/kRTEuj91tX7Z3sWzOlWtcSrq3
GzxtN2k8EFk8BJd+11zkfUctrdR74TB8GCDypkPOPU/LCJ576bS71mF1sCBocvhcZ6Hy0BY02pEF
4QC9pJmznigcl5lN8Y0VAKN53y55p9alw7Krg8AXhnhFLniqY2ERKVWON5OSYl3w4fcWNYXaQHhi
pEsPMibK7UyJSAk2n9KJdFer921MDGpyYefSXZa9qNG4+nNQVbRko0ExMMfTjgalhjstdIEqDKwI
nX7zHsUWaOMATRzt7nbmybdmjjB0sNAb3Im+p2EKxqgkvbdsVMLFIpZNNA1BNMd9BYmx9HNm+WUn
D0zNVnE9btRk2E59Z61amCuLKAg2g2p0nj35bOmAOQwbbTjEnrciMo+JWrsLPNjPk4E7Akc5bXu/
vWuy7FmCLPFN4EVJztZX78a2JdMb2qUVZVsQ2soqjAsT/WZ3dFWIbDEjamw6D6NhXaQFmoHUHF84
EJR3RgpqJDWuhehY/vsduvTNEEU+6lIftav0txiYqaZLfT+SSLZwFUgdo8JuN6XOvdKBsLFKZd27
2kaVHTpd1H2O3+8ml0Aaon0stods6XYKkcNlsZGSEkm1cUdp/lpvwT4o2Dqrqr2fmK8lpvYt1/nM
/Ij5gYOgxY/vIIg8BWl1HkJUXUPjoP6cHusqo7JHpsdYnAgZ5sLZ0FykLVnfWjQ9dlSEzMpemlGu
2ED3qCGXQhZPluybpa8z8CY1hpl/ldy2RnUX0q6C+W/U/GnxHojVqqCQWDT2U4n7iNOWdazwbE0k
9Kg6xEMYRezasJXa9tl0gmsA5WtbZCe4DaehUF3esUlDlotmuLSywxQTB6AH6zh7jdF8tvTpV3Xv
b3LZz1xRA32nOZ4lKGdHJTrYJUmaa9ePEwm1Hj6ul9QHwGeqceOpNeTLJNAQNo631gQujDODjUvJ
vs2yYA+D5GlywmPiDle6pmyIE6YYLt1XP1W3qevwGHFSYzrKA+jP2Jph5UfamxkZBS+UuOUxfrQb
vAjCzy8baV3Vrv7qkqWxipT+nPtU+2kt5igCjcBvPzMXiRUiammYkprxkJzH2L2OY9YVBkwEA3dk
jaaEKK3/P3tnshw3kqXrV2nrPdIcM2DW9y4iEBPJYHAWqQ2MpEjMk2PG09/PpVKWxFRmdZrdZe4q
S6JIRgTcz/nH0vFfprB7zvLmKtQlMmjXDoN2FAiS54Z+ptQ+r73WulpMZh7y0nF2DU16W5f6aziT
gxhly/1SVRfmEr3ocH993s/7IvS1TZcZlzG+uVVbxy1JPxCzfta9VbW7bHo3zgKZ1SoNqvFXNYmr
K8d38RLZuVyHlrxYdPe8M3TqmvRDHHc3Ev6Y7Bzz4CzW5dRr51XBb5nQ8MHUIeB0NYui6ihI44JJ
1bW+Ydv/QGfqhv7zK/8kn8vo7Y/Qmfqq71e+jgtCxyCBHtez9K+e0+/Qme79xiVgG9zuHliqA6D9
/co3f0MN6LBhEC34LVn6d+jM/A0MTuFw/LM2MR3G34HO0AN+uPMpeTVJrvYVFMfy4H0AcxuHwPXR
FSGmQJ1Y0CXPfGw+fniuTY04L92WAFBNzP1nK43PknB+8iJ9AdxKX82BYmlyTEd3j+GiGDaNKdKD
qBuq+9Ikjdb4MKqHSA6UcBOR2EZKFUZlAAHoBoe2KZ8tWsbful6EcmuUNhcS5X/k7uOt5Hzcxtg2
mk2XtxS15NIiZFamZIQh0fdXfoZaOgTNWGVJzcKb2pOKG5TvGv2/PNNIlO0kRM9icIh4OioMJYTX
zNTfks8Ggz5ThxhL8o8QgNRLdY4C6Lgs47VuLhfx4CtH/YVV5Qc9ig8TJOPadiT7ga7Z66oderAm
K76oLWcnau0q5Zm/qUPvvKtjLrOIMSSC4Lwo20qu6QzKNrNDoaekcTJwm/40de1JyyZvNaLEWs2I
Kjgjxg1ggONzNHXk3CfmLN8zs7tNcnErHL2wIV678kprsuVoWuBJTb2Naid+JN967XYeXTZhQVJQ
zq5fxe9uS2GAUcP+G5UH6d8zLZjFrebY47b2uB3chvAvKQkRb/h1a/IgMVxOq3BxncDQy/g0RCPX
aZ32KxPnRjdp1Y0zIrVwyIMSs1yZfk+vm6Ej6dOOxBpvBweIb+5r6771daQmyCok59pW5PgZGfTW
EwozHLpu/WSHPSCersH8syZH7bqdUZf+8Che/S9oXB44FVjh0URgwHx+oA5TEY8i89v00hBxvTXz
0Xim9Npbj3MGTfX1e/1z/imS7c/Pv6v8+fVN/uL846u+n39opQXsgP0vPbTqaPx+/qGVhgxl33Eg
qOGOOTW/n38+ZWbUJKCuxtj9tZfs9/NPGc50gBHFCeHh59T8G9QBkPWH84+dhwYxz1BufEMl0vy8
8wzzOFid5Y6njvqHtdVln6phviEjmdhiPzoVepO+8oiVZFObd9gMGJ6BAG5Ro7xrsdii6LbAWyiJ
igjpFWWOsstFwpXI8EVGhCROuSsRdpU3lp9HLCJVuBuBIAjgp5eldl96M7l1huVTDG2HWqojGLK2
1lMVF9Ra1WdmTVFf4SrPhF9ul9y45XsFY6fDDGAowJYBl5F6aFrDxTmy5t9DpIM9ZdGXtPWOFgIR
YU2nOGr3lctwyAB2bcRCbKlCwJVkDVeTgXpQ5XatXANIj4QzNSfRpAuWi8v0wC6bcFzre53A163f
0drCbuVtevzXGzODD8EntarMgkOztu6kT5br7Ae9aW56TDmrRhKIlBTzYdHpCOnK2EPHuTzY/pei
CgNpTFQlFmfu0D32YknWdUq0qGWSa9zP7HfOQAC2Pc1vg6gOg+5uXVMjpFTED5HOIU8KNNJM9Epo
bFiyln1quASvupeuFa2jSj5Umv2CVvwcHzVirCWg43HdtPqhD7NrY0bXG9nOjccrFFIAt9Iq8pvz
/FJa/o2TiJdsWihXFj5joqCjzXfH+8KwnlLUCJyt9MYMYPJ1r5P7NLnneurdUT1Qrp1FPCRDCjJV
kqFuhvf1JC+R855HMsMmnue0NcSfp0G7q030nvF00/nOVjjaY6+lr1i42DIJmF7LmoLfRSkSjbZ5
d+f5VvRkSjeWf+RtuhhTF6UR/kHrHSXlJjRUcn2/bGtXVaZZlCoguXdSujZF5O6W1LVXsqw+m6Xz
ZJKAvyaW+hkonM+XjpIYfgG9Y1dd6EP+JeQT6UuzCGAzVHcvxaTzvnK6L4MGImjE5p1NaEHE0Q/Q
1eAzHDuMWoT5uz6zqtTmNNBi0lhn01OWw+wh7XiRFpbclc3asrIK46Zz6o0PMo9HUwLjd2V9FhLT
d2n01cPUPuXNweSZeyqIDaxUWEQccaOQoY+Pao6v51H6hzCDKancdtqRNwDb0Y8WwRl6iv0vZvzV
6ndE/VR4UoTZMZrHYTpvuiJrlvvh605sD5PHthqFmXVbhiYbJuqxh8RKq43FTk2gFP02bNlTCWDv
q72bflVCsfwd1kJWcpjSgBS9/Az9lbspCGpEHmk+VYOdkjzH45bHfKQpJaDFZ5LrBEXAWkuKIPL8
6darQQAq1MJTvHxRdy9Zwl6QgCEIsIQ+KxgLJiwNpePFATY5tFXu5WQBc4JELML7lIBMxB5dcljC
t9gyDgnYhUQrmYNl5Em/rdX+uoByUPfJ4AXuYcVldJmDhGSWc8urq+/om75sU/ZUMBMf7ESaFtNL
OL60jvVQVeZjIShqNMBb0pyaiIZKWaXdfrCpJlwBFMRrJKqXowJsSgXdZHF+IcBy+H8NPH2E3zSd
/YTErl4ZDSlFZvY+gwTVqftQN8mRwe5FtqQ0isI9OWBHTl+JldXE5soE9kAhF2lrEeovYkpvPLAn
3jxAqJRwhC5z74thGHlCzG5tjx6wOeI5R+06QFwY0Fl/qo6HaebRc1mM2tg4tGpTSliZ8KsCG+hn
glUKTvaCTGxyItWWlZMVD1FMcQbwK0kiLmEbVqEvYO3dmxZTT1D5Tbrtej/BkysuS7XPDWqzM1jx
lih8hsO5iFn9NLUD0n33SjlLejuTa7KWI3r81ipXxYy7zY2a1xH9EbJwGDaWtvvEc86xc75CtHVr
knSLu6mUe6007gkNLtZhzbsBF0vZRyYCL2S8csaDW9T0tjs97U/cDnWHXW206M7O+ayhpGZsy0Wk
yTMp9Jk9MY/KDetISyJr1/qfjaLt3OM/ExE7nC2UJuivJqK+eG7/OBGpr/pxIiL6HWfW1/nlJzEF
ExH2MVdlrbEzqmHkBzEFf6QDytrmv/bI7z578GFieoBtDRJ9v3rL/s5E5KrB+CcUWPFirKRMRKQC
YyL7eSKy4qgkFmLWTzbmyGxP2IoBItpkxzTM19bSXnvx8oltg+e5y3dj5H/SEipuCngdu4p2fggd
mXDEkHfKQlnJa2eo6AAT532IjLqYDubUBku/t1PtidZTDn1Oseikp350rOjDWTs284OrI7vMWkw3
zrx8Ae9ELdsDzhGs/USiRc7IosF4jd3TUhX7EaAqMO3hCqTM3DSUmvHn4nwZMGlSDXe0WBB4kPOH
UutnQuDFW1JDcC/GF09DbV71GaIEY7otvIkjbLKexln7JBeLrWihJZV6XeKi/cvSmedzzcpu2JpV
RDYZQVPIhcD0y/9o39lrLP4iXXyDHpCSa2CdTgi7Cem1LGLZoLk1X0X2CG4Wtw4BQyQ/2aPkkiYE
M3Q7GXCEztbazggRZl02TRSxBGPgWTA7/1lPqORBLUIaFCVyMR7XMtuTitAA4mq9sl/VG5ZpkHrh
K40uBUbgfRmepUHSZZdIgoiisbvGnEXD4JLL66EyUzIFyFzkXOGlUmqRVrKUxg1FL0WJpbxonMdq
kazsPek+lrS8VaVEK526Yie/KjahH9r4Mcb5Gt+jRZp1KoJ0HNZx5VRnPmJnClKt5BjaIg1Gv28p
7h7c3SRZwVEqk5PZkF4Cg2iGOz3r3w2/8nZN3PTrJgujve5oL0PH20f9QrPBGU1QQcP2mODp29NR
/+Zrlb3qm3Hc4EAClfWtQy56imbsNL/yTJp89bYkVEQDVfWRh+ys3EQjMbT2jvCIt2LS/R0efDJO
pJZfQW1GZ7xyXB/hWD57FX4iY07EPhREErYC23FJfzeYe5fJgBoksEVyVF7qmczUio6pVWtTxdp5
mjwf3Wo8j8Ze7vwYvyOZ3+auJj5hw5sH49ja7wlSQSLrY/KvLXPHXo0OWCwFjj+/Zo5CW/UCIU/X
e0gGy6hEPmDKDrIAa9gwLOkaP2Xp0B5I3AHPXHQmU4NimiUru01MNLagstabtsRVyPQ9J9dhT720
cV0x8AVYy9vzLlwE7jEmCoksJdf0CAMfSpVSaVYqxCuz5kdrsYQ0JPhjtWnjCTth+6RFzadcaV9C
pYKJCyDZQSljUqWRcRHL6IhmUqWemX0kI4ZS1OC8ICqgRu2+9NeJktzYDjky9Ew0B7933mJ0OYBB
2zFCqDOh2BmVdMdGw0OU1xkmycfJGd0dJm1nnRdSHSL+kZfi0KMEqnhONYUqdIV3J9AKNWiGaiUe
KlERkWz4aqAqGnJtCuguv+oW6R08lEcVCqQWbrr5KknqmGcaVEo0DCSrBCpsZxrwJbQzQrUQ6DyC
VUgvvokE0ReuEj71SgJli+UZ+oHkUtRRCSqpDLWUh2pKm8wmmJWQalKSKhK0GGmUzMrC4PaSepAi
Ttal+8gcMKFYvYnJwLfOHOR0KwttGMkKxYvf2pxZoi+R9zdX1ajdQuUon3yWnEU4mADTI6LM5tHj
R2LimzWC3hkunVVYjdF1gbgaggNXV68enkWErF3qm3a1HW9SGuB2goyRmzySdeAh4MBfIFHQpA4L
kT35u9rS582SsriRiZJzwrjzburndBO2iYk7prA2/pISfCDtd4C1Jcis5YDd6wRZcV6Y6QU5mMXG
HIWxM0fSD0xRh9uMBo1t7Np0M4chkfbkge0NZ7KDFAYoifMFL0pi7Axz4qhP+WnjgqfWGCkYyUsE
LUCOOZldnFKigeEb6RW+tuVgq47LiAof3dlpaA1WacFS20RdROQQ2QccU/0/4M83vtsGq/nzUeep
f/kF262+5vdBRwf6QbjvAe1gc/jAdjtYK5SHHoT7q2Dz39CPY/qoi4n44a+4PyYxejjo2Rvwyn+b
dP6WatQUfxh0XNdkBkOO7ZISon8s/Mw72YmpmsSpS6tH1FZcYplJBpbWE/CDU+Yac3G1p8Dcv1TJ
fduKfvV1B5UlK8LkxhKlVwIPeyFVoL7lZbhmR2c3jKRKeFN9lJhO6wHquvNe9YFp3SjGven0yog8
HnxGd3zQIqiTaAetheDUV0q70bofGfitJC7vmijCgcUy4IzeedXX91KnucAqzASPZPOaqw2iUrsE
l99+UtsFlms4KCT0lA9Y1pVmOuehM/qb7itlNWohOys0Vg6fNcNrwQ+/hgXtX8ZM4XakyC8PAfmq
qbSbDlwFbzYUWaHIstzkxAtn1w1CCkzXCKoy0nOYYyZLbiR8WwvvFtvNpaeIuDrOHhPDvOsqvw40
uLo6QzFJNNG9xPaYNO2hd7jqikXfEyv8RSjCj/6ZfQYDWIr0iCLgqYAZTBf/Tk9rFwYL0lAa4g7m
AXCKN6GLa1qcFcVodPbzrEjHFvbRUzQkx5m+amwyNyxxhYhJh/VLrhMfK7pWjJSqz7MgAKCkkEbW
Z8IpL70lOR/mKjqYaUsujQ+bYAsc27LAge7QBoA6Ex1bHrhLRg+gpvUNb5gBtufDUNCKVklMvmXr
nXyjnnfY6iE7nfSAk9Q/Rq18M5oBjnRxo2uNzQ1Nn82SNmSXzWy85xCp6HKcSgRxquQFMBPrslTp
ApkdBZ1dZNsyBx+h3u4Uk5e4Frl3GrUKyaTji1U0V+8oDM1Viyuul8ZlXdXlujeB2ykLIleKfj80
+tounQiSH/T+s1PHDzhm+7WklIRAAioLDZL/IQ1oTypVgVG7PLi0DsGovpA3tethls6sUrvWvfrd
QoPfx0hMm8lbl5kj16KTcI9ANrVTnE0UxViReZr17GSZ/bT2c5/cgSr9JMbw3i60dg9QiZJfc1kS
Ipsf26DdzWhXmtfDPTck4KBevSnm7kxg9W2y9CZJoo3T50+jkC+2LysMo2gi5pZaJ5n1gXTQr1Wi
PNoeL65taWdcddbOEUCWvT9nQRm5F6LRXz2DYpS2mz/VJh08g15va6pSkC8zPszTcMiYh9ZDKS7H
fHyJea25c+sQFSHGyMqoH82yPvpAoI5HukNsIpEzwtdOjFtXNsVKy8dmjUijIsgBacNMI87sA6iW
s/2lG+3jSOkVXuH0ogmlgVO7yNaZYezSuP3spdyV7P96tjzoWovrmCgAFHvw6v5RTmUe8AMH0TKM
hA9lR69R3YSLuIHq/jx3fk2MXkw066RNZ1o2a4eqQCJdIuIYsubWIkovrrMbzylpECysgjnMVIWX
Lv/KImN7j3pjI8MGDYup5WhzSfIRpKGxHjrrRm8XoFE6OMjbgK/C60wdjoscnJoMhsI8oE8KgUk0
XTN9CiQh4tUD7V3/Ayl8gxQQdP35PXv7/EqnEu6M6hewAl/5422rtnai+IAICJr6iWjxHDiY73/C
V32/bWFTTBSwHksw4RK24mC+wwrebwK4QXfJUWZARZX2d4gW4gA/wgouwIb66YgRVF4SRcT8aN9K
hxKcb0LdmHtibfUJpNwQp5s6VdqhqUNTk7XMv7Y1PI1pcV63jJ6O8FzQwCRZh3NECWrp6XTSOWjv
bWDruXTXjki0c9Etz3ZoLJd+372NTtNSlIXboc7DW7PXnGM5sN7Ng9kwFg/NJcPKJo3ih46A21GU
tBP53lnRGWeW1N+zaX4YYxgJKzs1OZ553dj7CQSMn7KDJYVZYyjXURHPZh6gg2rheuEoYMDeUpfL
29E+Z4P2Ng6qX0iJqLGbTCS9Fl9QEePAENplJ2CQiQEmQCobSb7ynZc5JnZHTSmIQwcYFPr6gn6u
HuKiujYczr6K28CdLZbivhs2kdz10TFKDk5t3jStQ7JF+LaoqI7yytEJdSAA+LKEVFim9FNB+2bI
MRWX9t1gI18V6fscKe1Mblx79ODhHGFTHKL2vtI6fFY9sug+j/Pt1CE4b3x2GOnMtwWpWEHHhLJv
PYGFgGsKxquHoqiw1xQIWtdtSJAi60cbWF20z2K0SYVm7ggvTm8ISDGCCdHRKp0hEfSE3mi7og9N
NsqBjyRvnTF1oZWVNxW9vCsLZ+aunwg2wNAYSLNLCEVI7X0fcqI/lJHmRkejXYpPxNChCcihxHn5
hmU9mcBGw5SACNjee4the4qHU9xJkhG+Yp3dV9xTUi70hZQ3V+NIzf19Yunh1iYO4+SKhGmC8lUQ
2Lnc1tZYHYvFSO490ickhYbMcf7njA56lmH6Q0crNQKt7tExzN6dX44Hs6BCSYY9Xm8930tdv9d6
1pwejc5mCpeSMZG8aU7iZuW2GALbEpkf4cArsx2OE2LqOz4BLmFMbqXU8NNVOXPreP1Y31GH+9Ji
ATx3MwPXSBq/1Tpb+WLNgpgR/VIjY7uDC+Gm0WwdSLvr97IP5d4gr+S2cZqcXju3vMsMolFqHZPK
YNV3ldcFXefA5/QL/WiJvZ8cCKE+1Fh/SZehm3EmT8MP15opp3WBmWFjJ8Z4jtvQo8o2dM66WTxP
Yb1u4vEBeWhN46CYV+ymaRBZPujSZGm4P/zxc5aOIyktTRgkXlfuiIfMXjNkBvuccA30+d5ZNsbT
fljgGWWn9NFyISTP4ea/Hk0dqxWu9KM3zJctFDFiNCynKCV5MotBbqlQm4LOKNuj5i30UeqMBIyf
y+af++jbfYTz9q/uo/K/guQt+tV1xBd+v4505zfh6cJTUfzsf0q0/J33RxIFWK1cvDYQ89e98Pt1
ZP6GChkfIRcFLnyVtf/7dWT8BvBtErkmsBoSRuv8nevoV7onyzTwEZsIrn0d/Ofn6yhJGbpivEpH
PNuAPjY58hEBxo6dnRVJMdYokofFBTElK8kgY6ecl9sewjqCQbswSX5FfK+qxpt1JJrPqZvr+hUy
XRrA0oE9atUOpX8qmCvPIrPPk0PTzcYd8buafdBbITU8Olp3KkIzPMtmBw+YQUq/fpu4KCvPl2jJ
21e/jJzxKM1a2teYAneDU+Zv6AvBq8sES0VvwfvvROrpW7/xkuGma+buYOX44KDv4Z82oRJuLZbL
SuQ2sTg3lLBLNk1KxiURbJt4ottRNrLb9GJOzu1uti7CcKn7VUoV4HPfEvLJ9RvC57kW2UIoZ/qr
2GDdmsvPpKK8pg4aVtzOxbp27Le6K94cv9K5v4rG+kJgGAlN7GdNNB7KRdjbLtN6ukMiZzUYgkt9
zHqdfskR1A5JwSdd4xH2szF8nRICe1qzNA4xfosLLTOQQ+gSXr/pp8NS183Owqu9lhwR9AaUgJIe
gCm4FSw98gre3DpwUPvgCwwDryvOvZ6Nww6le5xtezlkFhNBYpCzYfnxzk0Y3mWkrESzl6LwQtrk
lllQe/6bZ8XazhuWfa6jake8tptD2G6tLTKIYyJDab57tCgADLJxGVauY+8q3Wc476Z1F8vxMjMn
FLAxR7Sf21MgMVajS62Nk4iy7BYBnXlTOk75lgpLnhVNUn4iABWyOGmoURzS839Ora+nls0T/Oen
1gMDdC9/BVjxZb+fWR4tIIaB817oOlwbI+rvZxYkGygRkkvL98RPWk3rN19QHULvE1jXtw7o7yO0
SU6kZZD5aNI38/WP/gYzx2H6My+nSD6kT2iVCCbB7PPziTUJLRqkLPvLZc7Wjezp4QQp9YrVD6/L
L3Rz+tfQjp8IQHLsDYRZxEiishKW+kF+mNT1vBsaB231peht/z6LcWswoefzsseAbWOx6sreOrT4
sm5TgzFbJ+aEknU3eqqrlGDpaPbPdShpOCVpT1fxbN6Yc0V7vDNHUA5Dlrbm52FqHO9qDJth2KZ6
ZQWDBQTuZFp+GtMcQ0VS15WxqcacEDdPi6iRSNqwxFA2M3h4ixRBW77auTWi9anzk9WLOsdZkeXz
tgqpjM2RsWt5Sz4g5rnKPIlBt7OLIU9PssvQOdUcGrF/ZerijVbJL2UTbcNW3LlDs0fIsLM1p9pB
v6ObqOGNrHDrFxt7Kg7hPDeBmdGc0RKUnM/NOwHKN0tNWo9Rv/fmcMt2UGxGS6ZPboYSx4+y/qi5
tbxsWts5yxP/WPsUmSwLiAc5Tea7RcH03gpjpAQd6ll0JCCLuWYDd3tHiL9L+klHEBoPr1qyGDui
xe9nXXvMSZIMqjQmPa3rIsOl0ps8pggh6AavERSopf6JjqQ1MJp7aXXmFDheGd8ggtBQmety40+C
0ytPZl5Fo+pWbdbLwNIked72ctNwhJ7FGjlzf/0ZM9Tt+uEjxrbJfmkDvpp8rH/+iJGcCbZJ1ttl
uymegW702+XWXWmrZk1ryp703DiINsXO3chNubLPrK25Mfbh+j91U35dOv/9cxCUYjJqUPpDrZkQ
Flf9zz8HquGxp862ugyN6AwOcFpnEb2u9WgZK8/N/E2DX2crqWiGxfXEMXIl9Qi8R4QvFuvZnS99
7lhAoOUzwWD+tqXLdtt19ZYm4894BWz4OXDOcJk+NTkwpiFpDnbb1AzwbiINiXHToqTZQBHtKI5a
pyiNG8sLqVjw94sJWQQ8ZKnG1KaDPk584Lui3KcToa4myF5Fh804RhdGCNVBU4MesI6siiJtAx7i
yxE/6a6JqPZszeg+As3WzeLYT54Aaqt3IuOD5vqNte1F+h9CQn72kqkIGrSZhG5yXgLjmx9L/vzF
GBF3hfJSEGi94yBARCQZBtAKbNBewXo2Ecf17yf6L04u1fXxw6fqj9/zw7upTQMDWxa1VBabaIwl
iuMI93Dr7q2COr4mBCp1yPl0m2Zt520HUFjOBHCxvnuafUHF7qNI2oaGQO0dynpbN83RqJxrES6v
dtR8LsakIRu3qf+5k78xSCbvwO/vYPDcPf8rZeQSQOv//Pftc/lfWywUr0n7+qttgi/+fjMbBu5I
ImCIsXIdrmbuvu83s2H+xhWGWuXf2STftwn3N98gZoTmld+/6vvNTN8XlSy2R0Ly3++m+MNpxren
9ZHSN/WPojn4cIrkQnhpKJfT0n1qeHjVBv3DC/OLj7b6F344p9ThxL/B42QZvsG3UD/BD1cyy69T
T7Wpn9pJQ+K3tfMEncGXYdj/9ff5+TdRlZI/f58PVz/m4rqRiY32R7W9yIvR/fLX3wBL6l//Jh88
phHaDaOP+U2MyV0N1r0Ldc/27msnvx82iKLW7fBU9/s+uerovNCTtzQmHPDKqK678jYa8bc1544d
bTzqBiLruk9vxyKmk7n4Dy+F2lD/8jX/CFgmWoi2U70WJswVpFj9qR+QK+jWaURsitMbTfi7S4x7
w//0nOQb3v2n2WQKe/3DD4A03XYEbwvxNh+EWCVOm24Q7nxiC4B51H2ZX2SkPsHw11ZTr/0U9O2Q
eoxcU7uy+/FGR7oIMVnRxyO0ZS1xea6MuhdkaUbibAQJkru8eDQK82wMBWiroaX6/WRyQpuZT5FD
6HWrMiV4xJGHGqUU2aRbvZuDoZt38XIanGRTROg+G21FecNOUlZRGFdk8NFq8qhIzKi9ayM1tOTU
DDjBgNXCGElNtm3sohD2aR1k9GFzsiLFBkRtSCeZ9XVP7q0rmJrq/dw8ttyKM7W6zVieE91zTetZ
OhW7gQCw+4KLpDYXc1P5d51Fdgn6zlRR/nYSWUS3NeTmeCgSqix/wkjDXQgL5tthq6rnvznd//Qd
Uiq+H94hZZj+6cH/OCmPCf6SbmqXk9iZ+/CwXHSfzB0Js6d2pV90e3brDV0R63lrrs/Y7bZVMD1p
h2zb7cTOOSbb9Jvq8k9/oA+X7h8eX3VB/nBMWHneu4X6yFbZoYKfHQNCHPAki/9wHP3qk/njcfTh
wPOSYsnjmO+jUap2N31ponVCNoUROOF/eAj0n1/ibyfSjw/Bh0nR5/2Qpp8Yp9hcp1ekHcMn0s83
thtAjOiEFfWvD6hfnYBoFbCnMxYCUH04AYlWmlw3Nw22EKbz5WXQrv76G/zqAPzxG3x47aAbXKpO
DePUDoESNI7aup3+42D70wfzX6/aD7/Fh1PWn4iSoUnXOPnD+dKcdc6d4Xz+69/jV1fSj7/Hh+Nx
5q7GPmYbJwqlcLkgOnRu/PTSj6dv78j/b3PVMXmVVVu9d/+j/uXXqp5lEsXd//35P9tv/x29VWoc
+ek/Nl9b4a77NznfvLV9zpd+e/DU3/zf/uG/Bpy7uWbAef5CI3eQtJ1MXjuuFzCIn3rn1Nrz5+PR
nUxK/vqvv+yHwYjJQ5ApiA/Hd36ELBiMHMO0TYWVqmv4X1MRjXTIanzXBZnA+gmz92+M1ae8glA2
PKfgs4Kp6u9grIAmP30KOR65tXw6bwyKL2AYFULz43FEePrkNE1bXJV6bVnH1ui5N2fVwGUDtI2G
v5qmAfc9ITCvzVB8XlSkCr2jt7QhxSvTfZkHQMqa9BXJWtWoOJbOs/Ogt9xLoaJaNBXaUtWI80IV
5GKrSBejdvpVXEeXmop7GShKZquqTu3cfdFUJIztj18sFRITU6vUq9iYykvOJxUkQ9LgUaubKykq
O6hU2EzcOdRHqQAad5ZfEFwgQumlSnLfLkVGMgKpNRrpNTGOrJU7RXvX7S7LJWtWmcq5sZvxaSTm
LO/mfJ0ShWPa3WMEZr7DuIRGB1L2FFFKjdsE2xSngdzoxOq4Kl+nVUk7HoQHMrhTZZGGFS/GLW6F
ZoUz9noyxFkh7DerK3amHJ9bKzm3DJAhSfLz5BnnGLH42/6+EPIRk9mhmoiSxxf2WLXOo5++mCOp
v5b52vr+qzTak1yST3Y1vWaWVwScj0vAZHIF0Yqk1h73RYzXJ+048BeNBI85S25R/132tXa5mE2o
snxhDg0EhjZR84dUZ4+ydfLER4EOyR7z80aJi20tdtcRzUJp7EQ7VMvOtonyI2pfsfHa6d5ptTNj
ZCrAiHHmVXRqCcLA6tniFs0arta6NCgbGkFk0yqQSU/EGibTXebGkvx3XMjOEJIM2huCTiX+1J0N
kt7Hh9BzifvvrxzRn0RFawlEVLOTmF0mw8CSlmUHw45QMXRjtLLGBcuwkAcYNIkwXCPu2iZdbayG
cyJaLmPeCv6mfEnhKp3BvhojcYhSl7oLI91hH7ovOmvv61NJiolz36EMFUX00FbdG5Cbts4Wylft
3rFWQ+PHW+jXxzIlsj8y8EC59SetRxWdt+O9RvgP1hhUl0uuNRtzyG5nzZiZk/HT6DqyH4LO1klV
H63ZP2UWBHM3T2AX1XjRT8O4mbypOrljEfGsSC9IKSb5FpHSobTJYPKeuxB+DgFoCGcMcWBm6ace
Y0qe3JudnvMJTNwNz1pgWQPRAZ3b7egjBZQZZb2fdCMk65VM/3o8og5agiJFErpo2jUza7yZy2YJ
XIMQNVWtR/6Eg7HZZC+PlgOxcc8ZHnP1Wbu1aFSYCUBSGpoI+tdtN+Y8UfMRU4RmVQ/k5rwLXaRA
ita7XMST3/rYjPLLGlOcwca4orUg3jgzt89cNDdx3z7nFkN7Mh+8ajmzyE5fS30CACBLGnWThYx3
fjda+TnS+vOx6q7zWjvSMZNtUSYHiLyOpj9Maxr0shXtrRQuK9lW78fY8rruvVZ9dPk0Gpit3OeE
SnQ2RLFqKy1bGRXKQHoKYERRybKnaR4x69Yjpy6NwTMj2ZA7rx3iC6BTIwk4kM8JLJ92Udv323gZ
zrrQRGIjoxsnnp7ThAh2Wnmsbde0+aaOOn3dWs3eKZygiRPKlePptrPRy1OAt8kn6l8g1I1NWdqS
h67ikfAcjFZJuqmmkBQoHIpWH04k90S3WBNOVe3f+qG1N6cZ80WpuIs5vwnr+jJiXdtGnZc/ypFQ
+nAcLjQUHogD1INtp59ch2A8ZxizLccqqkAjfplKGjx7K9nCcJ9xoN/MVjXsG1FMARfANcp1igtt
Oxjs/8feeSxHbm1d+lU6eg4F/AEGPUEmkIZp6E1NECSrCO89nr4/lBxFSWTc6H/QgztVKYk0wDn7
7L3WtyxrE8rkBPaNpiMFL27h9+xDH3VhUqWHJuyvIho0xCljICAHAIlArbh5kPLavr8xcDZu57x7
aYh0cWyG7Y6aqyED8UpCBym92TogOCYw0caypSvm5y+mxrNdpSSqoYDCODoGMAkYxp9kRNdOXVSP
ipX5q9aaIG9MuPNI2yAkmSYCqBN1Y5S57MWR3HppW7zg/nrAV6evBj/3sKnRxOQnd9juCDHSNFgo
oxx4ZI3znRKnsQM4t7XB/DmL1IOHhnNMp/d34ZRcDeyJhAVj1IyMBoekMIIVI21uN3qQ6y7mv6G5
ig6lNA+Iq+Mjh6PCgdU4MHxkki4l5h2zu80S6WgUxmUclD9GhT/X6PGjCawQgj+hAGaXH+j5V4Qe
zwjl5NERIt8yCtm1aVmv9Ent3IQA1scqjdNdg0tPU3nwkVs/SJN+prb5PlSpR4zAHZu9TOgiGa7s
/7smCs6M0G7tOdlCNafjjgjbSbsCCKZOprehMU2bCOvs9YG3gu6DCfBrNBbSOqs5rFZFOXtTYV0r
fla5BnhEKu8xd8uSPGeMdf5OrqdnU+JmaMNe9ZLEwhWH88LypX0UBM+Et62DhEbrGJeboip4vSgv
iwS9Z2HLgSspxiuZQPQ52+hJl7FRxJV5KXfmfQHCwS8XvlGgvcUy+EsNfaSjqnUIYjXHVylSnDUm
8ZkysVpuHjPdVKIJWM6sPJnoD209iVza/wwQSdlcM+0AsyKmAbZb/CyT85nA7lu1kR+vqr68iHps
hgS/byayXdBokorRyck2DhgX4t9kv2sZQ1YqutYirokKtK3vYSAhw7GC2usVTcYm2Pdkek3AKOdl
VTUfMloFDgkKxiqrpNuwHu6gc0LPi+wVA5RD1yjw4joLQ2FTYPzQw5sWoo7rp+2uC7DKZDK+8by7
DFKSrbWmhWtaSkiNTJ4nrW+9MZDStZrkO4nKiQcylleDSrQS8e7Yx3ns65AtJN5WkDMhW0U/BtpH
Umm+mbJ0K5EUQYA3wVWJnQCmoFujpuprP9UXNjs5ERXGa4MhCOoWisVA2fs5SQX2jFR1NJOHIEOC
W43oJa3OXMVS5gX+CykJBwoDTBmIhNC3xvvSqJVV2cXwHqJi51cMZi0reQokgx7AEN8q0PGAJUnX
IkOMqpLApNvDw7icwMxwpqtUFrlbtUQZT0aH9Smp+DgozyBs1XQTCh1KERhYayoIgiXBlOfuzVQx
u3DPjG6QaB6irsey59ENa+UKi2UNi1M7amYE39WIa6dLyhsz4jcyAF1TXo6s03V+RD+de7UJIMlq
X+OMaEZyEB6qMWQN6uQ7kpb345TeqkTQroeGJVXIL32P+toacg31sRjWRdodyqb2cnm0HHmisW2X
MoodM/5hUxuHPX7Wcsx/zFm9n208MuR37og4eEQFgaArvit7rM8NVZ5IWPpI1O0YjWG1KdKIN9mJ
jTzWb2ZISSeKEfM4NV8fQ/5I48dO5DsfR0mY5M++lbzEbXfW9QoRRausg2wkeQTmFSYZGjuCoHnF
HQ2M+35V3MCb3JY6JHRDQvsU48nRSAUD1jJpSBOw+GFYO9RjsUMruEqRY6v7JlYIuwyEmlyl+Ww+
TkVkWqdKMnr+g9GW/XqyzFVnlNKv8Pn/6UPo5kex9Labvx46/38+g2q0Bv79DLq06PfFc9VF+d/P
octL/ziHyngziMwwmYB/wByB+TAs00D6id2Dsyq9+98b9NYvuDIQvWjUbiqiVQ6QfzbodYvq5+cf
Q9X6H4UiauKvkyFOouzRTOdNtKfawlj80EqFX5yNoz7V50kCU4MVvVNojea5Fe/MDj5opNOOC0V4
Mo16A0nDuKpggjlzIF9rvn6d1N0PRm1UdWNI5ll/EQrF62E3oN5eST0pSblysHKFGS2u7V4fQSNq
BznlYdK67KTqlucjQG9CySsm6QrN3p2Y8gcDYYjlV0hMAG0rnIOnfJeQ0xsSvM6qpO0MK7wn2Gsl
6fLVlKSnjmw+ws9O46IRtc3xQKbhZln4hii4M1isJD6Rm9bDix21Rx8LH7r8b1qAdqhdcNGm12r2
Ra9XJz8MT3aBM3CmagvLU0cajVZUKM3VB6HjomLma6MMlXAcxEp8WrCjfYdGsZnXodw/2VFzGYbd
MRimVY9fUyfkh3Q1qOY40ey3hrg4FzA660jXseZYz1Qr5FWjE4j7ndTYlH/NdRjMmLTidVbCVC7r
m6mhSPDH6BwYAvoJsX0xhU2Tbeepuc6s9gW4OfLG/BT61aE3s60xd/usnrZdRXUYlG8iLk800klR
sndaoF+LUICXlMptK3I8d+lwTDqyr5SpuqBn/6wV+rVdmqsQrhXlijh3UnsI1Gw9B/2unkleEtJ1
bI87Rfbv9Wy6CxY8L1NWh7obGsCytvpytRJZdYysdACMUJG+N2HxYV16Fj0hhWU1bqzSQEk6lg+q
ikgpG8aXnElSAEAQ7ZjbTPaAVKux6ngb23m4a4u6js/6PI9kZJIFpm36GpGyrQz8+oscdtHFFhWt
D4a410nRlvvcrPtVs+hogblrR1KN+nU/cdJJR8iGCMlU+IFzfK0q6iZRZaYFyHPjHAsFhxLL5SPN
q1ydZ/DpHcVRSXHQLhrfblH7soIb6wYBcKQjfQBGByZKI/d4XnTCtPKxBgfNnYWbyk1MhgYxsuLI
mkiDiN+GRW9sS+qthAC5sLQ1wtDzrBqejkC5ahLqWXS/gMB+RLN+xOj3IKF0iI/1onLm/6UIKVGv
aUigo0UKXRBrvWijy55dzl/00uANSX4r9Zcg4FgqL6rqssHI0GDbYgOBPj3G320JOWyvA1CgIVSt
E9X6EZT2t3xS7wyE27x/LLuFDCh+UXVrJedo/Ibl2shjts6EtlUPAadEDq5Z0blHHg6n914fp7dO
yPsY+TjhywRLS8TlISxHpAGDOK1OSMUqL1vU5+qiQy8QpOflggG2k8ZVw16jl0XNx+j/cYhnvuUq
o8u0EFtG7BsCK74XJ+POl9JNLBOJSFWE3x2SNlFX50gWLxTaL6NO+EY9AlQH3oUyuTd4ZboNLFSG
akVqYYmbstLUjV+ojy2hdA7LFBQcYxdR/DHIiR6nABCpLemvkV9laxOzPUr6F4mCrFHBt42+zNzb
f9DQHuNogeSidmj4iUVDXq8u5WyHjaS8DQeQMXI8TS6poVTjvv+o4cV2/NIX3F+aVyWcQ2x74BFF
yLMqCh7LerAo8DTtLZOhePZ+sBBLGQtRN2N5rnbkD5q8t35fWs15zLDRTvjtrEzbDShmwra/z2V5
3w4WeZoSRLgI+gz+ofGQhPLNELQXRh7eKpMgLxo6cl7HtNX0QVubo3SIOktx8im5q0GyI+4vxZpm
JCHbIfWMx6E3CFdS4S99mlamhdKHOx0ZOk5ljhgEGGzkGRAARrLIyZus8MaOGiWZkGtyNBLKmF5F
BTPDn1vwf2sRjdLg81rk+AwC8x8qEV74RyWiLsJj9nq2+d+Uen9IBdAQq/jbUfLBNAWl/GclIn4h
HUsV1ClMW+Eu8gf/rETQFzB9Rfz3PyIV4MRvwXzExCrUny3zdxO6phu6KjOngR7kZR3o7sTJ9d2X
cvmrKOB/5V12WdCIav7P/+advptJLqMf2vsUOjTfxUJP+zCXwSGfaJ3oujOH/30k7iX5bJPlqG8V
/xJEPcq6z6+nfkBI/v2Kyzt695lUdFwRLoeOwLROcqwpgDk8NYUKmikomquhLqx93xrlyUyAFTWm
Z8YgKyp/9A1oTK3Ai5Ob30aUDztTI3t2qkgYVpoCBJAVHowCaoelJquylsFPJW/2KD2S8HpZKKrO
eQQrSRzUC80KbAH6NxwDqYQ5KIiCrZ6Ym2ZKI88wBCkZZVRs/GnMsclFcO1r7PbIkkkKVCN0uBbH
x+jaorojy6ZANUizq/L5lWIUVT4cKyIq1voE59ocrnxyrcne0LZFoVz20IpUy9zlcheRlBBcFBDD
Ok26q+EpOH3+rZ814unDbS/mxlWIi49aMBSkIoSRMTqhWQyeVNbNxg+nY9EJtHCtjAW1NqYmvylA
E2xN5v0xZlKO2KHUXtFv4D90Gaejc8pcu2UucAJHYmz1pqUL22nVSyJbBxMBOVG1h1JEuzFBTG77
pM8mp2k2H7C80K6iDU4a5aJxi151Q/5OCInhDoZ+HEt9D1KMmJXy0PqDC0VtN2nRpQwYLverdTRO
B5xNh86qi3U7Z/IqMIaLppcfqk51db1Y+CHznUGXzSExITlFXX6ZJ+2GbNFTMid7uUjInShNzBkt
zBK8pDmqeZqsOkFPTSzukMzXTizRRVOzEiJ3N7TAAlQANNC0D+lEFEPDoCPN2N6Hsx5a102HXVlB
1k+Qbe0pZH76aXTZ5dLN0MPKkvhZioUnEJFfkrXfRYhcXDHjKzUYXLvLmBuNCnnCi6pgumq7gswF
GhnmoG+GuvdkNN6taYFLI3+kKG7mXL/MfLRkwwg0oU2T/nqcwmvTV3bICtdWaT3qCfMFYdS3pSwx
v47qtxzsHgBgSAhMUmYUEwz2MLP2P+QhuMgZ0VQ6zklWMBKiSVPXSKYwJZI2/OAyjPqjbtCWMLLN
KBtuKjD5jv5F0xRbmmpOM7dLeO+JgMO1Okg7FoqryQqokyIqPg0JK1aue71u4AwyNaiSHBOOkU7b
ZDDSXZ1idKIgYDIn7ZNmvm2WRJgpbamiipu4h+kS00/rcHitOkt9trv4ORYWsro0pu9GSuXQ1AQs
NQOmKL+3tj+Xmf9uestZ9NNND9Wc81y/PP+Ten158e8bn2L/wpaiCzK4ICT83N3+2PjkX2AsyKRa
EjilKzrn7N+P4MYvCqJ2oFM0EjmHL8z/3zc+7Rf07DgsF4+MzLKv/yfT4L/qKtiOwFOhJodfhesG
rd5yQn+3SWihIg3tlOmnkDlvcxrHp3dfyz9se1BB/7LxLVcg8xAtMRBj9j2aaH+9Quc3OonBY3ci
ONnlpPWGSuqUEkll1O0bHIN1HdcEC+u4GRUp36Ho39ZV7HaCmE9zUXsTPbDJRb2VGvk27kJPRxYu
EeDuqPaBihRH4CIcn8P0rPzUktMZrbRzkC0a8xFgZcCXSLYPNk9CCqa5YfRp7Maw8TkFyUdNy0Jz
PbURAZN6lH6v1NRnOkgqow6pCVEfMR4xzyUGGP0Vdz06YkUEFNlhdaHgsnYCxTqLUkhuatWPNqH0
LhmDnE50fbiMR1h5GgJuT6k5T0x1ftHX0TfaEwdDVddk2rBYB0jb07zY5jlbBGbvW99INxrpLxZ2
Ohaj/JskD+D39RGagAQQlRZyQ76yh9FoHZTtjWASI8nlTqswP8rSNi+7fUuncWV009WYWHvI7Ijy
yJEHjrSvhHj2lR5QnwBwY0sgDaPnFnG60yzQI8PapkF8lmD/MV8D0KA+NUmwtzuxzSrjoOdkVtVq
f0w1qJ2Z5tYlIy96iE6h2/dxNJOjk6SXJBQhbp4JgInkJ46iC/0m3usSWaqpwihuZhCjzfpNpOUA
B5oxdDsr2k0pvRIjNiBaxCCcq4jZhJl863QbPzADXznAHJS3RHoH+X6caxKW+we90FbkzJ/Mxnxi
kz0nkX4dZqgQOx+lut4fw6HeFcC6Ajy35Imz/9nDNu2HQ6imN2QyZiRUpQ9q3twrvngw/c4ranNv
zYYnjfU3U29LB7PjRtKap4IPr07ZCFR+/k6+hUucAGlMBsaD8VAOKPW6KijZKemttlajOrrw0TaL
bzwFjKjip8DHMDE2bewxS+a2qd6mIt5aIPx1rfzW1fKTJJEVLSaUChDM+tFeyUb6Mif+FeDJGRB+
cEjiOtkoQQl0TRK34QwpomSiTmHFlCKDS6QwnpHKkIP6LIyjNdKdjiJzxglLWI9h3sS2/tiVTeCR
jgwLs1yennhAlUDgb1daHE6Ham3Q23cY0FyPuDxW3dSlF30gL3kVWuPaadk7oEx9d2jMU9CqJEcb
JuNgQI925VsvqBx6NwTzRHQbwg+e77r3GWhMEi2dOOqj01hH5qGizFjTBGB3S8oAjcSSFk8azloP
RU3rR5LddsasnLd+cl1gpsdV1skXmNocK5xUpyXTvOXIXepls8s7Gj+KthCs1arZMseMXQLfDqYS
sAknZb5RZmPjj7MNwFNly9TT0i3aqgCmFqVnAWCLDCAYDzPhWCvfJz5onu5rX3sWSbVlfcO+ppD7
o0jSekqlg0/HZunrGE5iGpjK0iK7KYxOWpIy/JRpfX499PVAIIp51iOL4RGz7lhfA7/p1pBALkQl
WBAV3rQYrvKOGUdJX4w1ao/ZYUtv3o37eFXO7QGO3CY0wqOcyg8JLSWtW2SjfrrJxwQCPH6GJmpX
g+WbCDMZIPp6JF7KgR7APAP7QtQ/ZLeJkg1eH2kbDU/uSsPOuwqtOeHIH9XH2UpOmlpCemmulMps
VmnTOGOG4W4ecJcrYqcqfkfqNArUdOrvTKm8zdSMWhfUFpabDlXB0GY2a063H2Sz+JbrrcT6K71V
DcFwUwenncthGS5NZttaytlgSkS/RZDQb3LaeBuW/vDBr7iC2qW3OTwdYH2yve+gkO/TOMA5b4AY
E5oFWgxHjV6IW6PCaOMQxD07GTTe9aT7mMWT6tb0p1srN+bH2c8J9euKxmOAhBpoGL12okVQyn2+
gWBbrHBmEkDfG91jTTiXN1oT03tGLCG7UthudfpsTjLARbCyej1lxZPZl7t8oK8kAK40xVmexD6p
pjsZbkIfYb0qyvCuS9VbUhVteCMATAp0HuvCT6dlGDbAnJOfNFTra23Uq8fOLJV1WYAtRJ2UXIuo
w97ka4/qiFjIV40RKYpkr2LcoF+cEj+oHhejDQwoSg28ZTZs749nxCxDvh/E+alN4jVe7J3BIWqo
G+/zKuCjvPy363D05UCn8dh/LAJagS4Lj+4pS9MjFKE7VqVLK8u+sVzWzjChwABKv+3H0kutZNuo
Ibh/9DJqfsFKdUAnjPU1uSKx5tqsZFcj2K1DmpUH/o+iMzmb8gjos3Uy5a/cK//4DRkqDyV+nsV5
99fyxci6ImrtJD8h1oHocyvHGQTFLxTLH3Dnv1pkdI0jDCMVQRPiw+/QMIScsqTrT2UAs5PooZ2G
oJ2cyIp9o++hSEv9o0R+5lVucw/a8g5cEhK5qWSh0uSrOc44R83dFRp++yZnV+qKniMlSiEdWtbK
IMdmwYCeIom5pU8fb1B5bsxsQPwNTvkaCsRz0uLUIxVgM+P29xvFdMM0Styk1V6lWvVwZYGo0ioT
9YCtrIoKHGII/oKtiNImNHdEF/yAnPjMyYpWIfTcUaTHaRa4b8UkoWgY4iPQ/8yZR6w9qOijdWjT
aFGi4N7vlOy2GsAq2UpwMLKSQ6RZtltTGUjpY4tTSk74sUjcUlbPWNtJKySBj/U+Pfjyc4eGwBA7
1sUnS4K3IQZlO8X6E3isEP4kQMTSJBtBktezTukx8pgB+WWmM0rZtm4RPmbKuEeR/4xEJ3ylZ7GR
TVquhFpiNVo0iE3lIXahB6qO15lppjBNONOSDHlRieYLvTi9/L8Uzb/eDzyQS1LCMiJbGG3vy3Ji
Loqcf2tPdMCeNbuhh1z26cmUmKiwnn4LGgbkZCmtFHNcW9FP0nt65FuB/BgmYqsGzbGFfg9K9WgU
1iP06NBrMqPyuk7Wd+iD8alGxAf1Vm+5cqFnW0zX5XpQsFLRoKYeYSGSiVGFhFrdBBngDSVsCnYD
WtMtI7e8rDwzmxH/ms/2ojXuFUIp60y9MxHC6QAHidtS1sASkdsbyK/qwXyE2LrDYPfdFEiry4Fl
wE63Zj7e+nZ8EMQEVoV2YxoTdwgIx0m9QWx5TOLwpoqM60wAnpnaRytJdIe6UXbNqqMWrHqX/h1u
1AXwqcXSWqZxtIZP+ixxT6xKW3tSNOlRCXtcYgyzXVIEvX5GuyGNhavo9UYmIMXOezI5GLKEPcGr
dJUta7gQYNwHpcc2kC7olfZWG8qTbY27ppieISe+VsSl5MJ0wcIzw8pJ8UzOSAgOIje9AfdsKCKS
duHhqHZ0lZRSsiOh2y2ayTVTnwEbBU1hBpxLeBh7yb4aqvYtEpKPrnWB8UCzbrtkZTZoM8AgKIp5
MBttE2n4NKzFzqoH82pYKtSkw44PlTxRhocCw2ggRZeLYCcIC09NpIuMXTwcAjij6VNfNqg74aTt
dBp6KELXqT94Ldt7XmflupOqeJ0mYMnA282YFIUdlcxCgiVhhEV3VhWswVBCB+uSEJdtkLfQVKtD
vsB/WlJJz2m5GEZSsdeD4aJUY2x9C68VnCkjURlmJLJEqeGUkKIc0TKX3hoJccOlabgiGahjTggU
TAzDDLlE/0CThrmCfGQIXENp0Q9xOCDWQ95w0am9QCFBDK2AuLoZejDb1A3bYmrBkJliW/dUIaIA
4y5g9PZ+rXyxtX3xpP70orw7QKuhPQGFTTq6qPQUm2OGf3nskcYN56Q+klPzhRFisQi8s5z9NHC+
WxkWFvX7lUENQV7kGStDUfxQxPd+vO7tQx48MhD8fM9eeut/uxIJILqK5V4wXF52xnefbGiwqsZy
P55mxM9uGY0k9frqkjBQ7MICD08y9heEccpOQVQI6DPLcMhqBnIRgy3Cqssvo0hvUK6uxlyzHAbz
98R2ngtZ3GCRJucrBtuo3oxBM67zNvCIFPiWx/qDFKblddAlvWsQorXJjO7CiGWHwsKdiDRYUeJt
8lYTD9gMb8o5XdNJ2XcaoH1NhdEx7YzSPg9JcFGzbQuJDDZ1kVZKsIyt1VgqD1lZu1Hq74aSkI4U
cQ4ov+dZnoxVOgRP1WjXD2rgw/7AnvvFt/rXfstvXth3X+oHm0li6jkZJNZ4ssZv4fwyWb8KYv7V
avTV3/+wcchSSo0cJBMBizdljBxOu/vitvj8rjA/3H8YcchDVYPpZKiXkJkcviY5nH4dpf3rp/hg
YvnVpaxDIKUkVRaVyl9vvVE0Q9jofApbXantaztk1CR30Si++DWW3Jx39/jP9hdWc+wQNL8oTZUP
F5riCEDtXKonyphXNrX1beoB43SB7a4enNx52Jmr/vByHa3C+9F9Tt3phSe62Wq7z7/Vf/RIv3us
f77Rdw+b3UckyEMkOLVev5ZXAKJvuk12Rdilu8RsecqG79lTVrUDBNy1GbS7+il//fxdGEu37+Pi
8v6RXxafd+8i9ZvUUmu+98dxp7rCaT37UjiMrDD+bx6M1cFcZxv7FHrjNr8xtrdwdzbjlnXPmTcF
ESprWmdrey0dum2+ac4hjXsnWN8XTneSV9PG2Nm74mLY1neZd/P5W/847frtlvlztfpQQUtqEyEV
B5hgOIVTes0PEJK3ypp8jDUquHXk5l62LzaXrwe32yH2G1fxnnH6Pj7B9Fz5kAOc7/7q/vN39dML
+skX+jHtKmLMXAuTdxXubCdczVuiiG9zRivM2B1A0A64UyfdoJXbqt9opLmfX3+5ff9++T+fow+r
DUuNNDXlNJ7kuXDFMFzMUnLqO0SIn19nWVU+u86HVcdCIYv2MZ1O1NROP7zK43YAngfyXwbJU3qf
X+2f17g/PtXHw6SUsfgbVdwRB51w8rsug6v/twt8OPNpo5WaJlDNU2JcqDF9QPurafAXP8xPYdy7
B03KSisXEw9aUZ4gFnmlSj6n9cWv8tX39GFxa5S0iXsRt6dx+VXmlGCC3+Cf/7pQf/U5PtxgHZj2
DoXFdBowZUTmiTTfFTPgz3+OL+4u8WFVMv1AmmjOsRtgVNHt3E3S9qxp3Uqgyo0H9dSTZPf5Jf/x
cxk/pZMEUtjL+OX9QmghZfTLqO1OevZWx16igfEwN59f4x9/nnfX+PDQpGQRSlWojycCU+nfX2XZ
F12Fry7wYUmck2zU4qLqTzKLNs3oREu/+Jp+7o+fPfjLhvLuPg4jhj5+yn3M2QBKTLDvt8mRIwK+
6lXoBufOyX6FcvzrHQff9PO1ZvnU7y6p0P9TWjVkj3qkMZyzqgJydmD8PyuHedc7l8Rg8g+O4WYr
xbGuJOe6dZdd/fKputT2nNqhz7tT62zzVbj56u3940ZOPssfpcvHOyeqB1nxeeiU87KRS06zSfVd
rqycZKOvH3JnD6r34k1+4XBW300XiKm+WL3UZXn67Ef58Lv3UmOGlT1RS6z79bwm9V41HfsiXV/b
J/MA9nP9pHq+k9Ox9VBCbqyV9MUK/dVbEMtQ8N2PJJF1q+dD2Z6IvHXGNZ3N+LvhET950f0Yt7CU
DmIjbaS34ElbjZvkjDfjx+dP18+D1yffgvhwnyS9lulNzq0JedKrHMWJlqpul6xu+9242yEddOZT
mzkPMv7/zCs34pLwvnXnhjuisb+lqy/ez1IY/+39/Pm4Gx++EkuymQ1BQztVLgTsjQml1pu9+RBd
KM5rsCN6YWXtyi1NvQMesDsX6gM/UbtJvJtovRQJvxUH/x3dL3P0r0b3q/SfB/e89PfBPQJ5Fcka
KUHLr7YkWv4Jt4F7Q3omnEqDqb66cG9+H9yLJTzTXBg2+s8gKZ7/3wf35i/ANTXs4CoSDzz6/5GN
+x8G65YMXkcGAW0YXG15E++fMaEESprWRnFWLWYrJNXBxhwWjScBSEBdA4VWW+Kl2rTLs1wlOyEP
nzJb7LM+8iy7xUVCAEtX7WJDOs+S78rMYDBEiuKQRgJ5eVTfTzL2SEwra6tZcMRS6/ZTcmvW/jmG
7YwCF2duXsTiagyI0nbqOS5l5uCmXOBSHmQXZ+dpRh+DbUjvNyE88lVioCfK5TZcRQqDuJgJpBJM
a8UKkIcXERmSBuEO5pCtJZ/MbAT7zjSR9UIuGh2ssR1xGcp3vdKuBamBg0qfp8XrtQCna8eojVeT
zwlMnb9b2QtmvodsjGwXMkwev9ogpd3Jh7vfZYD10yncIRfyd2mJqAczglvkkryRGU9dGIY0HPwI
0iaZc/QP6vgOHCWpyylGT9RnZ6DMK2MJpBlmPKBmBzigYjyVVHemCM5lpQy0LIaDPhIdiBV7kdvm
3TqXaCUOulyt7AXxnFTdsSzjcpVMReoxedyAFd0buXqfxT3ghoVoM8BSmWloC62i0Z5E37GbHYN8
Ps1q1q86oWsEq9SPaSut/MXcR/byoQstXLkgAFYcKlfSjKWhSODhNEWskVwO6SxVzV3cmleJP9Ga
GyDZqXPgVlgwPSIMXiuVfFEk6WTNEy9VSZtCzg5ZFp1RFF5oZBisWF4vwANMXLS5rCKzdayEr0bu
p87VF41CHqyauNtUlXYURojpwS4kzHZxsU0UWqWltKljCXZI0Ryx5oP9qqMaDZN5rZrq0WbY4dYT
ZaWe6fRPk3wZjc6Rk+otkJFEFgQC+m4D2Wa0x9Dr4/wY6P63qeonL8XFHzSauTZa+V6vAMFqFXOG
NF5PVWvSMA+ugkE5KOPiKRgRvNvfiSoo1xmIMRKbzV1Q4SbAb3Jou+Yc0cOWropCpPOPaUyTrUDT
bSflPTlYFbli/UWzqORzhjj7uLWfikS+bo36u1VOUFyxt82Bh5RyXTbD3m4lr5bViyINT1FR7Me4
OeVFetnnjL7p7EOm9rthZ/rG22xKHSLKgcCEqKMPSjhRP+Oqno9BhShRYULpBYtQcdBMrqtv0MFv
hkXKiCqBsCntsjaemkXqmHX2XY7IjhnqRa3CzMtaA5W25gTlfNnNIPx6RN0Y7K5Y7GjUt2tVNRhB
RtTVPlpLrIcHaxFfJlZL4El0LRSxkN9vZhJUyRdCsBku0k21bnlQMpFv7EBBu7hIPDXqZmZKwbZa
5J/qIgQtFkmo1HHn5CVeiHwRjGacGiwUpELP3woUpdkiLSXp+36G62soyZLAhPzUWISocu0LB0/J
C1NR/2An4TEaLZYJWb7MioyHQVTKmUSjH9qMB1Cehx9dwywkM8drbZjQyeT9N2QfXqXLj1MkjgTV
eoxYGPcidl1ZeqNvINQ95CPx3IDgvdKa0L+DZSjrSztKL2Qz9uZFgWhU/ikWjLEiM9kW+WTvhWTc
WfhMuDJTelu/VWQcyqEBb3JmhOWWYzy6laQeRx6DS1HY12hJt2OqE0ea0jUWqQoZKqZYKTTVMUSL
IEhEZGpiaLaj6jmscAS2E+1sM01dvMRvgf0aleK6abXrhO+EfUAhBSJPET5al8DzPTkkm9bvmZmg
9ifzeB4A/PbxJqwQ7URxiii4lb5H/DmMmeg+DNLXjeBE4gkWzC7qL3RJyV1+0GlrMPtaIi+UrAQE
SezOurPyrT2iJEBuGuxI7Vn5EqGo2kUIYpqJifgmN3O0YznG4Y+UP9BHTwqrGzUioHieakxOZueO
+FwcO2hemepHK4kJR22IGXF/RWnPrBLV2E1njAcdMyuc82rT5az1SXkaijLdlcpwxqZ7LQPsYGo+
eYYpLorK3kpo29DHTJ03dOqPxMZr0ghxlYWCGNgUV+PPMuK/9ZTOqe6Teip8btrnv4v/l1e9K6XI
h4I4z7oh28KkTfCHBlL7BVkQmF7+hWPTMun8k4gDa4HShhhHhgQUTX+UUroMd5Bp/K/ayP/Uh2h8
OCvQBiZsir+iINDH9mjZy4nq3XFFXS5eplV6KacCo7/OjFPRh/teAENpK+lchsjRuZGPSUpSTD1Z
22oi2400lQaNloUGITqSbXuLrjhd5QqwM8ihJbk9MxQbbWulnWe2vkvM3HZg08oy5qEDmkJGGk+N
QVwQYhNHQwXXjDzjApJA2/0QkDoGnG2thLBrUspjNeqvhIZsAPlGDKQLYpGjrNvGZb3FV37RxIFb
YOGa1dglDCAkWqg/mLDZBP6CQUUyMdV6BC9OfU7/L3vnsdxGtmXRX6noeTLSm0F3RMODoDciqUkG
JFLpvc+v73VpVJIIqV81OEBHPLzBqxJLSeDimnPP2WdtWIWqLN/TMmgsLNdtpjnyyGVJ9X8KgghB
jVkd0wbZLmw339SqtHK0cB754bXb0lzWE9fM2xxPKEWYL9r5ojMTeZXw5jaaRe/laHfIzVJAD1Ji
nTta/IiVZL4cVKrWAU3ZE2lwb8o4+xbnTT+T006imB2eRnqfzQJ43zgxQg32cws8XZ8NVEPtOUaR
x75RpzOvi285XiWg3CkbUHbpl3RepbZzrCDcmlA1P3VS9abgLCUovqSpAKjuKNG/nHQ0BtnfFAnv
OUlNL3ufSFm3nYcwVK5IlAK6dSli4x0IRNbUbsYkeIjSYtbFnCqBjS5eC4ITIvFNWMjfqmo0V0gr
9ZkaNMMc51DkCK522dT+nR/y/r2BpPLoZePUzHVi2gz0cqrp86SibTWM6LeMZx2ACj1AojXUChFo
wO+RoQYO+J5NstS/x6nkqi/1fprZOVosrVl6HlnPIq0HkDKOMetC/h5Oyw67cqQvk6w5zzL7zlBc
vveKYFCBegIv+UFpgpM6DE7KwAnWEqrVqQGCAidxNANONahTHEFqUEL50tWyMwjzJxTdrTWCOLSj
VXAmh9lDERbBoojRDTRBOeuh9OBihuea6HtXYnAiinyhqtU0NzoBhgdq7zXrKs1vG6ldZlV66mfZ
Qjd7h3pugENL1To4HnfEEDEaMVtu7wWloGrp3g37ZRfk8I5TEEupKURWfKrBusjo9wBZ0F7bUbyo
5eOCW3x76krBYpAdRJ7puWKkF2qLgs4YzyEZ0dQ6tEsVU4FJ0xBgZv5IqMuVyQzxKpSSwJ1ieuZy
XcD3O+WhlFfzKWLDhDgd5X8it9/8qI9mfaIh2BPyey2qvvR0rXWZTXNr3yDvKkLiYMdZKqmx9hV0
oqOrc+qp9GZMMG9DMir1HqRqcEXUwruFI9lESLnKuejXx5kbhTQk6o+NUSNl8aPHTGvvi7H5Olod
gJgKTYundRdDw1UB2D3tfrVZkwhVW7TNTaqWG9WL6w17j/DFzTnZ+4IO0DSp10ZKx8JCa1BN3rZy
JPAuGOosG51WUOr2KUaVVl+Oc7sBwjO3U0mHatEiF1/RCj4gftUwZDmDGjY0146cKPV155SStmn6
hmKOkcb+PZa8anse1fkqExicPKRVJBNonEBAcgpsOBWoOZXA59RRf6wDtViUEmgdWzI3htUHMy64
OkpC82uRZRWdJ2YxSWDzRBIWv34Lb0qRR/NYEwifKLWhLAisz2Bkn3NX3/phqc5qGxk0qsZvdMIS
e/kZHSsCECQLVFBZoxMfoAcNeTXrA4eULlwhPS0vJbfZJHb2mQj420gzSNfTplg9I4lyI55WWn/s
U1GWuwT2Vb4NouwKWgTqaRWXTq75FMlqtLNqeObCPpLC4SH21W+jAhSp8oxvUZvQBxnMpPFYFeQk
3ShxiC2vInFJl32Z1vVZH29i3zqVoxgxLPglKpJr/5nHJMhMRQBNhMl4ZloRkmvD8eYyICdSF+qs
AxlDx09zSvGa9qheQHLCfGWl3DqqTK6XmqBDoY6doeGw5iMROWQd6aaOZqPh3amCLGWjH6W1Hf2f
HTkdv5ymUeE4r42IvEZcoWZaBw2oE8SqpM+7OZZAJ7ldo86zaeP1FOs86NJTYj08lXL33Elh4CbV
ymvqrel0wxw7vetBYLJGAcxyBTrLCJtbV8C0mi69Iw9xHEoR7xHeFoJJFP4CwRXVmMRgSiJNS/hc
4NBu2aAX0ORPosSvJ6qnrchu3xZtsJQCEF+ok9dFp120NF87RvYlEDAwBSqYLtcbpH0u/nG6C0VA
KacGDDFPajkSBFZMNZxw4kMac4wBmYIH79tWi2VlBN000CsU5c0FkcgiVetPbUK/cVT46AlQ/w6N
3s8jgTeDqV5wJ3RJa3r81CK8n5kRwlZJUpbwWux1zYBO8TY5l3MBDoKj1uAlOClMbg0Q1ugAkOeI
wU/x4jAXUjB6S6lTNjFuUdOhs0iusNI2nqJemALfJlVosOpUTtajCtwNMQxQ8mfgm6Uh6wku/Cak
xzBD5J2ScGGTY4ODJDImKkvCsC9UPDrQENEYbEKXg017R00NvyPrKwq5r70pL3KAdJkA03m5OatB
1blJfi9n9krTy+uODi+0VlNNsO3k2N+owO483FAaS31yIuxVgOGNgorn1PJ1Kjh5qWTQiV/6/w67
Xyjdgib9h7A7eCp3th7xt76H3TJOrwqRN/4PrxyP72E3JrDCsoIIk5r5c3LzLYPpHFkiGCa3iQBZ
Mxwe+JbBdI7otaVPVsh4VV3kPd9gnBcvqW44nr+t5OzwntMtOqN4lkEjE/4ev6TER81PfDUL5HMN
WwS6EcdwbiqfM+9RhvFhkPoqzfQksHGMCDpHPely/rxUrXNTSc+bIl/QbnAVN81nIrEpHt39sor8
+7Q0lgU3Yi21MXQgrVRZD7jN0ujQ1/PRija1YVVENHTmqV5zC4DnBmBzMWkcOZ4WBYlFOcgf3DBg
r1U3Bn7KiVJsR5+WxHC8h/dTTJO+JhTlUtyHFtDAYFXRPTwJ0/Fe8axV50cB/UG1aC19CPGOHO3s
xAmLe9q6Ehyv1G8Su15RNp9Q5NMi0hiL0pEWozVeBA4xJp9smTthMyW0IlVVwzuD4IN+rVvXUCOI
g+Ei4pduFaSSqtYmrrU/FR0Xk7werPXYRMqkc/VNKMeYlHXSyuzg+ivIjlaNNCwzHW2H0k663Lzq
8uZqqJPyNjaGbZyTWzAx+fJ8+Q4W6AbmGAZCcn/qRbkBTIIeJyNMV3WL91jfNBtdr9b4CmVEzcbx
oDxW2GZ7bnM7kPtFI4z1AfcAOpJQzcbkAGNLf9Is0ib4udyaIx4HMCjhUdEAWVcg34auNedyP6zC
aliivpznsNWaijHzvFifdYMXmiV9vHVbntV9rfhz1wqzZW2QA9vUWYBqVM/lep3Z5JJryyGprNZh
iGuuXBK3BToCwKoiUt7GbdGR+zTUmj1a7pNJT15InyZqhrY61sltkBzh2HROk6YokMdqX1Mfnwcy
0upM0wGaqWrGP3XyrBurr7QMkZ2Jim+QORFH07eDQm+EMwCDwDPQ84/5sMHz+Ezyoc7Vas4zZGJN
yb+Pe/0htftu2vbtNUQNH6JCTlBeGI9hXn0jZHgaa9o3Wyv+5Jk6U0HTTtHkkTiuYImmUjAPu1qb
60YL8gvEGf7wK90vH+zIqBeapMdzw7UfBgEvy3UzFEbbj3Tn0mEad4LJyL0hDSp7KoeOdxp70pn3
ELfgvrzjFD6H3lczI2G+kMo1onFjpukyzPLLVuNuSkx8m+tIQ83MW8YE0BhOkeaRzTtX2GIZ/ImN
GtUbi8vAjaeDLlUnXfWQGgY0mUHKNhJA1WDGo/qJDFBPooV6grJ6Ikk+/Sdl306ajm889IsrPBe9
deT7mxFTYJAWxz0mwaaDH1MMZUNegAUqv/47nQOEgCwLhaI/nCtNXT+VO9I5/K3v54pyJLpVoQlq
bxTjH84Vh2uBY+qiqwRziO/pHI3Dg85HYS1nvwIbvp8rwu4UBJUMA0rRnn3HfzlH/niu2OLc+LvU
SjoHuSqNUzTVgocAKPGL8KUFOEnWxhnOOeGqBZrIdF6RO4xQQMB1Yl8Le4MrjgGS13BxDu7wBmfD
W+JSTKdYCcYk8GXjpBdW4m0IIrWpcFnGz2IaD1q1UBW8f4ADZCtcS/NLVafWRJsgIuvBM5YVruWO
sNmVDPlrSo6ZzvfxMgloiHSFKa+EkH+i4dM72hj2psK618sx8Q2yjiPG9rilBoSgaaJeRsL0t01o
Wk9gMsjCEFgS1sAEs9VaQW9uQ5vCOjjAQ1hX7KcOT2G4Jie5MBkuZVNah8J42HPieDoKM2LQip9V
Vb1yhE2xi18xqI6OFABYHpHXdfE0lsnSAqWJ8Q1uL2Vcj5Mmv+X02gS4IdMtvwyFPXIwduoUqNWJ
buCi2nTG6Zjbj6MwVR6GqJjaarsZhOEyPAZ40A11dt8EawVtKBL2zAY+zS7OmZZUnFKbvA+DBIid
hqVz4GPu3BnDlzFQzzi0+BcC+sD3YPtRxbEvKs3mFJMaARTC33jqymj/C2AHNr5JZY47lNUvZKdb
qsT9jeLQejs+jbYdzA2r3aQ95GCrtOxJVVH3SptKOLfT01PaaNYdj7pVp+p3eROfNhL7aaHn87ZX
QQANTy5Cf1LR9VR1PWG1962x8LGxIiOd1fqYLRS5jikmYLxQDiaOc4W8orJHemrc2lCWJwqZvKkf
Z+a01PEII6mxbrlShGF22ciJzN6XdxBFKS4UOInAK/W1dNko5mXfeXd1mjuTOqk2XlnHs1bizmFz
wYCZC7yDnjPqocMor6w4DeZZgmIzEwrmoHA+5S6A/oRKVVFhO9/ZnHEFimvOza08jN60brOt1YP/
xcQE9yzJHVduTe9CV0d023g65SK1kSeyMuakfLCZ8Grv2nIt5hRFipWaJKe1S+a/SSMHTNgoTYLC
Ikei65tY6i5NxX9IkVNN0j6x50ZlniSmugKZDpHNc877tIKpLKlk+nxlLXsgEeiGoxjYQSpCnH2e
9dKaGyB4oS762oTNXZhoX/KB5mqd3CFNEE9sUgDOPEifnX3W0tQ9x3wDfEiVtifOUF1oufYYioOq
yv2VFg9futA569X0OkjjcJoY40Nc1ECCJcNb2EYYLnJxB65d+omzAggFyMcwjJ7CkUbtQXWXY9NR
kIwlE5CrsNr2guvM96j2ekE8l/LoLu2yO6X0YVW3+raUw8+pSZ+kUtOXkWduLoo7p01mfwpLaUNz
6rHtJDKRjzE3fUDTmWCPZs20pa2BrjfpAf/IJZHOCV728aRDGz3xPeu+HmkeiTzNWbW55cyqBKuV
TmHiUc3Uz9Uos8E3Civdfx+Lz8eiEEP//li8aaB1JikipHduAfy9t4MR1oMoc4BT5PR5qVh8Pxhh
PdAjjOmgKmCLQtb2duGyj3TCNvq8VBOEjSKaJ98uXPgh8QfCCk0xYRL/swuX+dyy8ffBKJBA+Ajh
+6Wo2CKKY/jnOofSGmUiZUlyPhr+scb00tvMmPRROhvTMFu0BnmX0I1Pce4DHa3pK7lRlkFen/uN
tGaxzECEkfSXAOQqx12Vb6NGf0A0jgNpfdqPyonn6KvRF2G6lA1TH+9BOD+XZCeiuZkkW+zRUXD6
dLe7cZNPRwX+fDJQ84wj2h7tpCYbpPmbhsVxkmpUhP2I9QUreDJa5IGc6ItJEkFzlQufbFReGmgc
nPCeFi2RujXPbQPCnNpwiaIPKjgn5f5oZhkVHXKsEOksOOdtpKxJ85zUNe2CbnIDz/xp0MfTSne+
oH+/6QYcEcPYW2ZmszGNUQOPbJ7Tv3Qc17E3cXzjVqMBfMzqz51vLqq2bIFEgk/rHPuCABjuDdqZ
LjoLOzYSWrLAnlJxxYkWwGEp3TlCmZKxlcpGeMLR0E/E7YCwvV4DfSHrCXti4ZtOspBC53NvJRdG
25zo1DnO8uKSq8giAWw8WLhhG86i0fqrgctcH0JD0kplqykIa2LpvtXdO8oxC7Ohud5hU2TjS74E
AxdeSdYQ5EHvU/rwbGgZuiJqLuXehQQemcmnQl+bQ4XjUG172QThRHvmyZAyO3auhP7g6dC01z73
Yv4Zj3aTKkZdpJ8a3oZbwCqMAlrrsOZeGoHM2Ni0ipKdLFq+hzCU6LCT7XiWDTbpMywoA5skcuc+
Ak7CStI0b/TMvJJIXEzxKz9xEsymGoN+Vj8nhRSU/pVkuGsDuQMEKvJgfRHeYDn1lQTCLHUTirvR
Y5iWnzwHvh3cFVDcfKhV7iodVysXUV3We1NqVAtNp4oeWO40zgIE2EEzG9lBjTFacitdRaoWzyEK
kL6kWmMbRj7TTSh7spXfZ1kydxQSkVjt+NMiBsFOkYcrVa/A86lKGgupNdLDOKDxV5z8lEL3bTFG
sNsbe6rLQIezQKLG39s2TKi0mcRltpFBIJ1Qw1k0dnUfmNYJJLGrtKVV3wow8pWUcVwmadiQwC0p
HwxQhjl+P+dpcW23fPFG580GY8Qd1H10W0mZaa0BRtO+ajp31WmkGhXXXVuRROcekx5nLFrdiUGn
pYLZhupFFR2ZZQeCG8CANA5bJF3VFHAR0HNGdFJL5TFX/5kcmbhhWMi2YtRAmA0uwSom8yG6ksjS
+wLK541bKRq2dWveeH17E8UIBXr7AuwJNCIPtGmnQkPRAukTjfjAwwFp+GO98IfWhFRR0B6v1KKF
mPRyKg1bvtfhmIhpnuU5eWEsTWaqpD+pfXUay9JpL9fpHLBlOiec2SIRWg15bUwzE4GJbHHskz61
YK+gjFKL7jqx6IcuqlpZYi7pTFUNsH3Xxumsa5iB/Pk3NeZ+PRiCAwNHgYhMuioa+alKmBK6mQSw
nq3bvCzOqhg1CgCHpzyXzy2pW1QhdHpJjfV52lnqwlTChS+P5YmryMs+BdeSMOKbIuVDU1dEu1Wn
DzpW9wv8CShsBrYDCBNEdjx4K5c62SpThm1hwkdz2Bohmi8KyI5T39dPx9o/ryhUIhKRKTcH2nUX
Jh0Ci+yiqORlWOo3OQgT2sivFa9Qp9lISCRn1tbz8uPc9I9VPtysC0hEGHJzK5mjMiXpVcxjoBMk
m5nUUeU+tOb4UNY4N1S6t/JiiYhWaQRCFvpI3VzntpLMyojvl47lmY3jybSzhANcgglHyaWfXT7z
nXM2uiV5cQRAenUDffNTpNZ3ZQF4NI6aO90hclXUTsFzQeWOT9sCDvS+MR186l6ZVyB/VbR1WYXX
qaktx5zGbTdSHrqolycOAbMRO+HUdiKVHlOkzqX6qTUvu+p4dO87/Fd87RIfjwnpmU+hlNwGWsJX
k9ZLM83O1By/mTxWqpUcmk8KGz2qReeiDUyWNoY3K8mgaGKZYzCPATNMAnpmM6c7qfKYzkt1ZfUx
228wzMdBuYYfu/FhDFHkbu6smkqSXNTHRX3WmpRrDTB0nuVdAKsLZnHmBEu1KIGKlcGdMoxLxJzh
CWYdymKUylNnsKQFUrpoodV9OBkVTSN+xcnAwEa2y71jTNyxqDJtkZjMPAAKQ0M0TgX9CR8w/7RL
64mO7XliWHdhRuW7BHGEkqgYhzMFfweoO3zP3BlMiKRcFKiCZuxfx249OueKVlJwHSVuAlWtr1sI
zHHp2zZ99sOwHHukpn5uF3MOj3DhYNGbGMqpmhtrdqNj02Xq2DpCMjrQZ1Kpa58CK2eHaGk61itp
Bcj8jNyht0p9+Ukb5CekZF84cgRFoF8NMvYDtgXXXuaj8x4rTclmUR/jPh4h6/d8bnYh7BcXozqs
2O9hMrXLQYGh0xX+vIBQSHpuXJithM+5ZW48Bjv/QqVY0d0rKjQrSaJnJCitcy2nYhY0iTKl9HbL
8HOKK/ETIq3jVvUsjEb7y7Iyl6HNHcXQrHSR9jI33FLOZ3SbQfUtuvu07nFOia8NfZiZsXGbOMXF
UIT4b4zRutPNBVARilIKfCXAzkqd31iZ/pXN9aJ2unQa+0yBwCyuFKlcsMEpSyyKObIVdIE+Ekxr
VFapWasTJ0zOLTSjgIF8cLZONMzLnuQw+348883RJ1uObW8P1BbCSsUlQ92OFcmLuOtwUicRis/u
GUHufVnmJ6AZrGmWSHOFzn46uR84WrAGUa/Kot2wclcWCLJJ0fm3OVI3Ss7xaadw1EbKSeDWGzfO
7oxcuUdhzBmRWneV2p9m8K9BXjsYEmFYOXEM71My4C2rkMUYg+NSL0+x9ljQ9497RmBf+gaO9iC+
bpu8PR17f4IJ25dYN46LCG5FpQ0naGua1VAOoPp78zRRbAQHCRuh5C9lIwDKZ+irKKMyII+bptQ0
WIcIU00oimGXJBeai10SPil0/nZUiFsfSgy0bKG/VTFESlJoLECv0PGUqwqfZXIm4RerI4ax++bC
yhGiOWWbLenUqU6SAmJNoXUbJNK2uF0vo9iVlg4uBsScbs3iMmIANzdmLR2bgZUsTT9bO0RbgrGk
heZkbB3ztVHp36IzcXf5/XXsgaLwjqsYf+ftKoZ6n+sONmqKo9gO9d0fJGfqEelBmUyohRUy//jj
VcxRYbPSEWzjMG78iN0Diq8Aqbe5NiEQw2LyH9W+bNEZ9/dVTOQobdnk3keNzVLRv/0iOQOtGaax
GsKuql1pQj19ZrnlTa0m/jRUB6yOlDS7CVolPlfrJLmuGhcCnqzgwDq6mI6iZSRX5daTQtfONEsH
lBUnSBysENUr8pBalTmKivaL03T5TTaQa8O9p79wOP6nSQKRwmnc7Eav2tNShi1ep8hkAp8Sv1ew
C3apd0Uti/QTaJy517rKrFKU2wQu3iqOUSGFOFiDT19rg33jFQ09NnqIz2SbB+dx0CdT3XTA1pl4
63T2p3RUg9uCK8Gprw7pghMGSXoEKEFhCM7pIXMXBHHOCu2Hce51dCvVz9kMkdeIRYYDgAtIC5Ie
GfRLjrWQanKTnDQkRiISJJ3IlNSkTByROzFIosiNPo8sT56rpFci0izA8D8xmqeZyL/IIhPD/S6Z
pJH/2SBJ05vYK5HRvfOK6E5U2ufgwCHJktqpRY5HE9keLUX2bHreKhKZIMkk8yRyQ31qHptwWic1
tkfseiSQapFK8t1OBuQ5PvBFh1PHzK8zyT3TyT/ZxKiaGwOKIzPlkqFCY9WeoMyBLVvDTijIY6EW
iCejO54ZGV9pnfezgpxXRO5L1cq7kVyY5IJOynz/OCJLZop0mSUSZ4pIoXHCrcEMATRoKOF05NmQ
WZK4TPQVnLyTTKTiMpGU4wbzkHvjpU62LhRpO0kk8FCjQ7oRST3TLiL7nEM61L7IKmiWtVVX0RwE
+oZq2EjeFGXPLDZwz/It40mqMOpqbMqN0rB4rvFBdjGoWMXHmOWWiPPAs6mJcqJZ3N1jIexxZYWC
m2EHy8GI5nYBWQS1NgeRYbTT1i5RlHsR7QiE/oNPnBWgQ5pnobOQ5Yh6VjQyyEHlrul0pgHRiECM
sMCnoI9WmpdfxWlKy0igr3sbQHoeJfJN6oOTcnXQy1mKmtOAx0X7D+56Li45upxOtMF9GjCoC7DZ
W0eGcVPW7mcVPuMUiPPUspwzbiMxh7thYhtAbtSKzbVkl/o5MR/9bjD3p7kSmAuUe9dtJNLgtXEi
Bx3mwKjEp7JkHJdxExwrQ7Yp9FhZFxmxOIBmlHz3leKeS5236FCvL/QuQIFaBtGUxMGyGnBKxE1x
ZhfxFz82FnaWs9RZJnlu9Qxs8jn3q+Pe6vJ1JFn2LA4U5dzvcm3mNpJ/RXxPYU+nmtzY7llbYNIT
OiS1BwdIeyrqErS60KfSXw4KaUaIz/AihxGsoaq6K2JZzsoq05eD5zozGRjROi/SDfViSIheox0j
gRyPi1CRlnoGpiujOmJKTrkYo+EYYPB9LiXahRoScrD7IYAM8A/06ZqQNO7pvUcXfpg/FFbofatS
Wix8lvGlFYZPEEWIgFJHIw38/yWd+XrE73Qx/V7uEj99JorfZO+sTv+l/+itjrb7Qa/JzH/RFpUj
7KcT+fmNPRuz/vE58RYLsuYR41VKgJQNDUMBhPv84tCLs9R7/bFEeRBPGsQnuvmSjP1hjH43Cn/+
gFfvHGPfP+ePb/7XbK/8qyjn/zIIQAtJKyjEJ+L1bhAg5UP3pXr9EgId3iCI3tX9ZgICfsT2Js0v
Cthr8fp1JtBhqVFkJlX9PEhkqvmNhzcUwilgv6HQCCxFIKoKx9+fV4OMEutZF+Uc8BhAXvlVUPDP
14R1hCcEzR+m9jwZHLpmfx4KpgOFE8tksRzmPNh7c8QA2uLCYalcV55f78ZAp+lY1xiDgxiEH69f
hvF/mgN8yX+fDdYRNy/TxJP6ebKLhfXTFKC2RmUNGBk3uufXgc4EY+8dgc0ReaUAgVLzE693M0E9
cnRhfCLoW4e5HH69vf/zLcE+QjPtoEC1XgaBgulP80FVjxRNtw3odAc6CAKmv+fZADLAUA2htHoZ
hHfHJEosmas8B+WBDsLrZvWiCv4ehf6jqNHCjtB0cEN+3RjfzQQZ5gIxJXX3Az4nDabzB8wH6BGa
uLnv3iRVFN8mq4I98kDngwh391wUzpFYEWyAIvTg9W4+cIvgKFG4ThzqIOwdQBM1kjk0uET8ZhA4
Li1eyB9fbiyHFzqr+1+lbGIGEqlvG8O7g5JBwNvE5rp5qMtB2X8QzCOCBYJj/TdnhAic+BmrgTji
MKOF/Q9KWwivVKRSv8ssIL+yxbX7YA9K+eXb2eegREZNKw8Z+Zd98f2lmsASJRlBk9Ba0xp0qPPh
Iw5KMHAI4JTf5BfE9mhjKGgLpN1hLor9b9UclJS5wMcTHL6LnR3QVkQSB/rpBdd6zzBBO3Js2aDC
9hIqvb9QEleyXbAtHuzhsHeYIK6SGHzo+vspoB/BVtboEn6Nqg91IuydWNEwEbVl2bIJBF5e71cD
jSIIdl+NTg8vVFL2Xw0qWz/MFJ2y9vOLI/enLUExjgDdsWGSihSvQz0blP3vD1yqZRz3KP3vng+K
CCYckxaEl3Po8ObDaxCzX6xAXoFCKOaCb9/3T/OB9AqdYkjGDzZgUvaPGg1OgOeL5OsZwaT/aRCI
EkQSika2Qw2dX8OXfWYCn5FdgSvS60xggf00CMwERzEUWsIPNcek7H1GcE5SmAT181JtoiHk10Hg
/sCPdZoTD/Sg1D9iY3Qsam6y6DURr3eJFfYErtPIqg52JuwfNFtHDAK5d/n1FrVjEGjSYR6I4TnI
m8PrPX+fPUGHDqGC+HnLKfw6CByR4G+pW7JviNehRgva/nUIAicM64xnD66f9kXFIoLWbJSCr4mX
A50O6t63CCJoUsoknWlpe/u6fx4K54iObwueiPyycxzoULzr8fvnZSm2B1t0z+m/KVOSgddsVQF1
+BKeHGDwuP9lgpsza5+A4XcVGeWI4FnB5+hQsyva/tk2ZgL7gi4gA8+vdyED/HCHtKzjvBRrDnWP
fK2S7HNcCF0XC9+yXi+Xv8bRqoZ0wcJdXGToD/LMfF2tewwC+g32BCifb9ETMdJPmyQ7A7OFes3r
xeXwdobXbOAeg6BRjNBoZCZE/O1JoYKjIu16qNujaL/eM/NoHpkWjd6a/FqM2LEzmLRS04h9qOnX
d+yxf35Qknw2ZY5C2L27t0f5iB/KFO8Oe3sUTmN7zgdSrQg6CRRfb9i/zgciSUIKwMiHmogWdnR7
joGN+YUlak+vG8OvY4D0l4Qc2Un1JYI82KHYO9dA6V51qNdSkP3NykDsSKpB8PkO9LQ0PmJNiMWv
yb+Td4nSPY7ksikf6jX7NSe4z2nJZzShe+AW85uZwKJQ0IHrB5tw0fe/XOp043EMsDl8X/k/xU1C
v+DYiMGRxD+/DnRRCHT9npukRpGGLdI2fyfqQScNvR6owqFeJgTDc89BIJegmRYqhtf5wJXhp/lA
HE0elkD7NblzeHG0tn8q1j4yLARe8Nde5vy7QRC3DfE/yhfidajzQd9/UcBA0mWkCphqPb8Y3J/n
A5ukLLKRtOSKuXeA82H/QTAICVRgMUyI59e7Gzb1CYpYaB4PNXB6La7vc1w+pyFpr3xLuL5bFARO
ICdZFge7HF5uvXsMApUqJJ3knbXfKd1UEpDcN5guB7ocXpOC+wwCvTKAq/mIb1K3X/cEFXAaegbE
0Ic6CC+ZsD0GgXuErkHupifmZU94d6V6Ll2YOrn7Qx2E/e+VpB41kKVcpl4OSrbaX08HMF8ooA42
hH5HuvjnuRbE4CBvxZXx/afnB5aC1OtfnwL/wgH6vfd46gfx43NrMr4sz10dLy23/+t/8Na3+/4B
PxAWn/vKfvovRavyy7NfOnPFv//X9jEJ0llQ1WXwtVafA4AffvoWEDz/pte///oR3//yn37Z2+d6
+8MVzP1t+dUfnn8wvL7Rs21Cb/N/x/zf4/bHrjiu95oI5N/+bHeb9fdo+c9Pz4Nd8EmZcPvvj/qf
//HzSDx/5S87zB8fnmwfs/LtQevH//wP8c65kjJn9n74RPCk357zw7OJ4vZ+9nQbb1u+kurtWT88
n81w/+fD/KzefaUMDPvpBzw8rcvtX9Nsp3uaWMl7/4rZU/zXWVbuHH+Cg72fP4//mmUlk+ftWT+M
P8fb3s9flE9VuuvhbPJ7P3wZP6Xp23N+eOMfsVxXTfIlix/r949XPmLBrpP8qQy28Y7Hf8SSXafD
jkEXwsu9B33zVO4Yc1EQ2//RQert2AhEg83ezz7ZRjv2MKG9+4BHV9XTrjH5iAV6klV//XfqPcVP
u0bmI5bo6faRDfhtHP5eRqLXce+xOd2Wwa6h+YglKp4N2nHHWxd6mf3f+lP6mH0Ndu1eot7+Ac8v
vz49vj3o73EX7bb7Pzzjvb8954dnf8QyPc12jslHrFIejXXF07DjnX/ESj3b5rtmy0es07Ondvs+
dsTc7COW6Hm5ZQvYMSgfsUQv4u3XXXYhIg219zy8gEa5K7gTSea9H34VEDpWweOOkRHNR3s//3r7
teRKkNY7zlKRIP6AX5D+NXlKg52/4COW6vVW/IIy3ZaPOzcyURn/kE8xC568XaP0EatWfIgFK+Br
UH3d9Ts+YvmK33GcbYtm12kllGYfMkonTVD9df4lqPJdn+MjFrP4HKfb+mnX8z9iPfP8evvXZFt+
2e6KGUQt8SNGit8xjXf/ho9Z2OJTTMtmfHu7fx+RQoS//0f4k6N2Ckxt2COTcP0n38D9H15FwZA1
b4Pww8B8yFrO4u2u6EG0KO0/6gQmyY4DXjBg9394vQVCGW+bHXG4KJHt/wv+ZNu179d68+Rvdw2N
4MDt/c5viPGZ0m9P+nvKCJDS/k9v2Al2HPFC6vgBD/+jKcy+w/6JN9js2iiF/GbvN/8HhPK+b/yh
+bJjIRn/+yrdlZb9XtB9n6x9ozvu+ms/56LFf/E1ftqW//U/AAAA//8=</cx:binary>
              </cx:geoCache>
            </cx:geography>
          </cx:layoutPr>
          <cx:valueColors>
            <cx:minColor>
              <a:schemeClr val="accent1">
                <a:lumMod val="60000"/>
                <a:lumOff val="4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10886</xdr:colOff>
      <xdr:row>0</xdr:row>
      <xdr:rowOff>0</xdr:rowOff>
    </xdr:from>
    <xdr:to>
      <xdr:col>3</xdr:col>
      <xdr:colOff>10886</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10886" y="0"/>
          <a:ext cx="1981200" cy="7957457"/>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117566</xdr:colOff>
      <xdr:row>5</xdr:row>
      <xdr:rowOff>176348</xdr:rowOff>
    </xdr:from>
    <xdr:to>
      <xdr:col>1</xdr:col>
      <xdr:colOff>1031966</xdr:colOff>
      <xdr:row>8</xdr:row>
      <xdr:rowOff>113211</xdr:rowOff>
    </xdr:to>
    <xdr:sp macro="" textlink="'Pivot tables'!G5">
      <xdr:nvSpPr>
        <xdr:cNvPr id="7" name="TextBox 6">
          <a:extLst>
            <a:ext uri="{FF2B5EF4-FFF2-40B4-BE49-F238E27FC236}">
              <a16:creationId xmlns:a16="http://schemas.microsoft.com/office/drawing/2014/main" id="{F8792CBB-D63C-AB7E-6AB5-D0A78D7E7C6D}"/>
            </a:ext>
          </a:extLst>
        </xdr:cNvPr>
        <xdr:cNvSpPr txBox="1"/>
      </xdr:nvSpPr>
      <xdr:spPr>
        <a:xfrm>
          <a:off x="117566" y="1101634"/>
          <a:ext cx="1143000" cy="49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3D90AED-4228-4D71-9A45-8A7494CF1ABF}"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rPr>
            <a:pPr algn="l"/>
            <a:t>2,400</a:t>
          </a:fld>
          <a:endParaRPr lang="en-IN" sz="2000" b="1">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ndParaRPr>
        </a:p>
      </xdr:txBody>
    </xdr:sp>
    <xdr:clientData/>
  </xdr:twoCellAnchor>
  <xdr:twoCellAnchor>
    <xdr:from>
      <xdr:col>0</xdr:col>
      <xdr:colOff>132806</xdr:colOff>
      <xdr:row>14</xdr:row>
      <xdr:rowOff>8707</xdr:rowOff>
    </xdr:from>
    <xdr:to>
      <xdr:col>1</xdr:col>
      <xdr:colOff>1321526</xdr:colOff>
      <xdr:row>17</xdr:row>
      <xdr:rowOff>1088</xdr:rowOff>
    </xdr:to>
    <xdr:sp macro="" textlink="'Pivot tables'!I5">
      <xdr:nvSpPr>
        <xdr:cNvPr id="9" name="TextBox 8">
          <a:extLst>
            <a:ext uri="{FF2B5EF4-FFF2-40B4-BE49-F238E27FC236}">
              <a16:creationId xmlns:a16="http://schemas.microsoft.com/office/drawing/2014/main" id="{182FB729-42E8-430E-B484-F5AC5A60BAD6}"/>
            </a:ext>
          </a:extLst>
        </xdr:cNvPr>
        <xdr:cNvSpPr txBox="1"/>
      </xdr:nvSpPr>
      <xdr:spPr>
        <a:xfrm>
          <a:off x="132806" y="2599507"/>
          <a:ext cx="1417320" cy="547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100450E-7C9E-4476-8A27-CE1FE5952B95}"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$649.0k</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140426</xdr:colOff>
      <xdr:row>18</xdr:row>
      <xdr:rowOff>21771</xdr:rowOff>
    </xdr:from>
    <xdr:to>
      <xdr:col>1</xdr:col>
      <xdr:colOff>1054826</xdr:colOff>
      <xdr:row>20</xdr:row>
      <xdr:rowOff>145869</xdr:rowOff>
    </xdr:to>
    <xdr:sp macro="" textlink="'Pivot tables'!J5">
      <xdr:nvSpPr>
        <xdr:cNvPr id="10" name="TextBox 9">
          <a:extLst>
            <a:ext uri="{FF2B5EF4-FFF2-40B4-BE49-F238E27FC236}">
              <a16:creationId xmlns:a16="http://schemas.microsoft.com/office/drawing/2014/main" id="{1B66EB4E-DAB3-4B18-AB2E-99EB78BAF20D}"/>
            </a:ext>
          </a:extLst>
        </xdr:cNvPr>
        <xdr:cNvSpPr txBox="1"/>
      </xdr:nvSpPr>
      <xdr:spPr>
        <a:xfrm>
          <a:off x="140426" y="3352800"/>
          <a:ext cx="1143000" cy="49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9619B51-1FAA-42B0-BE79-DC321D288563}"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4.0</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157843</xdr:colOff>
      <xdr:row>21</xdr:row>
      <xdr:rowOff>183968</xdr:rowOff>
    </xdr:from>
    <xdr:to>
      <xdr:col>1</xdr:col>
      <xdr:colOff>1072243</xdr:colOff>
      <xdr:row>24</xdr:row>
      <xdr:rowOff>123008</xdr:rowOff>
    </xdr:to>
    <xdr:sp macro="" textlink="'Pivot tables'!K5">
      <xdr:nvSpPr>
        <xdr:cNvPr id="11" name="TextBox 10">
          <a:extLst>
            <a:ext uri="{FF2B5EF4-FFF2-40B4-BE49-F238E27FC236}">
              <a16:creationId xmlns:a16="http://schemas.microsoft.com/office/drawing/2014/main" id="{5C7EEF84-E9E2-4BAD-B6AC-F40851DDB962}"/>
            </a:ext>
          </a:extLst>
        </xdr:cNvPr>
        <xdr:cNvSpPr txBox="1"/>
      </xdr:nvSpPr>
      <xdr:spPr>
        <a:xfrm>
          <a:off x="157843" y="4070168"/>
          <a:ext cx="1143000" cy="49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A1BB9DE-F70D-4423-8CF9-E88EC88E15EF}"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2.3</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132806</xdr:colOff>
      <xdr:row>9</xdr:row>
      <xdr:rowOff>182880</xdr:rowOff>
    </xdr:from>
    <xdr:to>
      <xdr:col>1</xdr:col>
      <xdr:colOff>1047206</xdr:colOff>
      <xdr:row>12</xdr:row>
      <xdr:rowOff>119742</xdr:rowOff>
    </xdr:to>
    <xdr:sp macro="" textlink="'Pivot tables'!H5">
      <xdr:nvSpPr>
        <xdr:cNvPr id="13" name="TextBox 12">
          <a:extLst>
            <a:ext uri="{FF2B5EF4-FFF2-40B4-BE49-F238E27FC236}">
              <a16:creationId xmlns:a16="http://schemas.microsoft.com/office/drawing/2014/main" id="{8DC2405F-3B0C-4718-BFF5-471B36751328}"/>
            </a:ext>
          </a:extLst>
        </xdr:cNvPr>
        <xdr:cNvSpPr txBox="1"/>
      </xdr:nvSpPr>
      <xdr:spPr>
        <a:xfrm>
          <a:off x="132806" y="1848394"/>
          <a:ext cx="1143000" cy="49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9FC9267-697F-41A7-AAB8-97BD6656F0F7}" type="TxLink">
            <a:rPr lang="en-US"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pPr marL="0" indent="0" algn="l"/>
            <a:t>11,997</a:t>
          </a:fld>
          <a:endParaRPr lang="en-IN" sz="20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137161</xdr:colOff>
      <xdr:row>12</xdr:row>
      <xdr:rowOff>32657</xdr:rowOff>
    </xdr:from>
    <xdr:to>
      <xdr:col>1</xdr:col>
      <xdr:colOff>1211581</xdr:colOff>
      <xdr:row>14</xdr:row>
      <xdr:rowOff>179615</xdr:rowOff>
    </xdr:to>
    <xdr:sp macro="" textlink="">
      <xdr:nvSpPr>
        <xdr:cNvPr id="15" name="TextBox 14">
          <a:extLst>
            <a:ext uri="{FF2B5EF4-FFF2-40B4-BE49-F238E27FC236}">
              <a16:creationId xmlns:a16="http://schemas.microsoft.com/office/drawing/2014/main" id="{7F6D8C73-DC82-0804-63D1-64734ADB3941}"/>
            </a:ext>
          </a:extLst>
        </xdr:cNvPr>
        <xdr:cNvSpPr txBox="1"/>
      </xdr:nvSpPr>
      <xdr:spPr>
        <a:xfrm>
          <a:off x="137161" y="2253343"/>
          <a:ext cx="130302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Amount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69668</xdr:colOff>
      <xdr:row>8</xdr:row>
      <xdr:rowOff>14151</xdr:rowOff>
    </xdr:from>
    <xdr:to>
      <xdr:col>1</xdr:col>
      <xdr:colOff>1144088</xdr:colOff>
      <xdr:row>10</xdr:row>
      <xdr:rowOff>161109</xdr:rowOff>
    </xdr:to>
    <xdr:sp macro="" textlink="">
      <xdr:nvSpPr>
        <xdr:cNvPr id="21" name="TextBox 20">
          <a:extLst>
            <a:ext uri="{FF2B5EF4-FFF2-40B4-BE49-F238E27FC236}">
              <a16:creationId xmlns:a16="http://schemas.microsoft.com/office/drawing/2014/main" id="{95180880-4CB7-469E-B9B2-75A9BF2BD854}"/>
            </a:ext>
          </a:extLst>
        </xdr:cNvPr>
        <xdr:cNvSpPr txBox="1"/>
      </xdr:nvSpPr>
      <xdr:spPr>
        <a:xfrm>
          <a:off x="69668" y="1494608"/>
          <a:ext cx="130302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 Quantity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151311</xdr:colOff>
      <xdr:row>20</xdr:row>
      <xdr:rowOff>1088</xdr:rowOff>
    </xdr:from>
    <xdr:to>
      <xdr:col>3</xdr:col>
      <xdr:colOff>59871</xdr:colOff>
      <xdr:row>22</xdr:row>
      <xdr:rowOff>163285</xdr:rowOff>
    </xdr:to>
    <xdr:sp macro="" textlink="">
      <xdr:nvSpPr>
        <xdr:cNvPr id="22" name="TextBox 21">
          <a:extLst>
            <a:ext uri="{FF2B5EF4-FFF2-40B4-BE49-F238E27FC236}">
              <a16:creationId xmlns:a16="http://schemas.microsoft.com/office/drawing/2014/main" id="{1CBFFEE5-CD8E-428F-B4DF-D9D0D66F2D71}"/>
            </a:ext>
          </a:extLst>
        </xdr:cNvPr>
        <xdr:cNvSpPr txBox="1"/>
      </xdr:nvSpPr>
      <xdr:spPr>
        <a:xfrm>
          <a:off x="151311" y="3702231"/>
          <a:ext cx="1889760" cy="53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Avg. days to deliver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117566</xdr:colOff>
      <xdr:row>4</xdr:row>
      <xdr:rowOff>23948</xdr:rowOff>
    </xdr:from>
    <xdr:to>
      <xdr:col>1</xdr:col>
      <xdr:colOff>1191986</xdr:colOff>
      <xdr:row>6</xdr:row>
      <xdr:rowOff>170905</xdr:rowOff>
    </xdr:to>
    <xdr:sp macro="" textlink="">
      <xdr:nvSpPr>
        <xdr:cNvPr id="23" name="TextBox 22">
          <a:extLst>
            <a:ext uri="{FF2B5EF4-FFF2-40B4-BE49-F238E27FC236}">
              <a16:creationId xmlns:a16="http://schemas.microsoft.com/office/drawing/2014/main" id="{DF99C2F6-24DA-4876-A353-28EE614D9C7E}"/>
            </a:ext>
          </a:extLst>
        </xdr:cNvPr>
        <xdr:cNvSpPr txBox="1"/>
      </xdr:nvSpPr>
      <xdr:spPr>
        <a:xfrm>
          <a:off x="117566" y="764177"/>
          <a:ext cx="1303020"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Orders</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0</xdr:col>
      <xdr:colOff>137160</xdr:colOff>
      <xdr:row>16</xdr:row>
      <xdr:rowOff>42455</xdr:rowOff>
    </xdr:from>
    <xdr:to>
      <xdr:col>1</xdr:col>
      <xdr:colOff>1211580</xdr:colOff>
      <xdr:row>19</xdr:row>
      <xdr:rowOff>4354</xdr:rowOff>
    </xdr:to>
    <xdr:sp macro="" textlink="">
      <xdr:nvSpPr>
        <xdr:cNvPr id="24" name="TextBox 23">
          <a:extLst>
            <a:ext uri="{FF2B5EF4-FFF2-40B4-BE49-F238E27FC236}">
              <a16:creationId xmlns:a16="http://schemas.microsoft.com/office/drawing/2014/main" id="{5715E890-68B6-48A1-A1C1-14976F3EC637}"/>
            </a:ext>
          </a:extLst>
        </xdr:cNvPr>
        <xdr:cNvSpPr txBox="1"/>
      </xdr:nvSpPr>
      <xdr:spPr>
        <a:xfrm>
          <a:off x="137160" y="3003369"/>
          <a:ext cx="1303020"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Avg. Rating </a:t>
          </a:r>
          <a:r>
            <a:rPr lang="en-US"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rPr>
            <a:t>⭐</a:t>
          </a:r>
          <a:endParaRPr lang="en-IN" sz="1600" b="1" i="0" u="none" strike="noStrike">
            <a:gradFill flip="none" rotWithShape="1">
              <a:gsLst>
                <a:gs pos="0">
                  <a:schemeClr val="bg1">
                    <a:shade val="30000"/>
                    <a:satMod val="115000"/>
                  </a:schemeClr>
                </a:gs>
                <a:gs pos="51000">
                  <a:schemeClr val="bg1">
                    <a:shade val="67500"/>
                    <a:satMod val="115000"/>
                  </a:schemeClr>
                </a:gs>
                <a:gs pos="100000">
                  <a:schemeClr val="bg1">
                    <a:shade val="100000"/>
                    <a:satMod val="115000"/>
                  </a:schemeClr>
                </a:gs>
              </a:gsLst>
              <a:path path="circle">
                <a:fillToRect l="50000" t="50000" r="50000" b="50000"/>
              </a:path>
              <a:tileRect/>
            </a:gradFill>
            <a:effectLst>
              <a:outerShdw blurRad="50800" dist="38100" dir="16200000" rotWithShape="0">
                <a:prstClr val="black">
                  <a:alpha val="40000"/>
                </a:prstClr>
              </a:outerShdw>
            </a:effectLst>
            <a:latin typeface="Agency FB" panose="020B0503020202020204" pitchFamily="34" charset="0"/>
            <a:ea typeface="+mn-ea"/>
            <a:cs typeface="+mn-cs"/>
          </a:endParaRPr>
        </a:p>
      </xdr:txBody>
    </xdr:sp>
    <xdr:clientData/>
  </xdr:twoCellAnchor>
  <xdr:twoCellAnchor>
    <xdr:from>
      <xdr:col>3</xdr:col>
      <xdr:colOff>97971</xdr:colOff>
      <xdr:row>0</xdr:row>
      <xdr:rowOff>97970</xdr:rowOff>
    </xdr:from>
    <xdr:to>
      <xdr:col>11</xdr:col>
      <xdr:colOff>272143</xdr:colOff>
      <xdr:row>16</xdr:row>
      <xdr:rowOff>10886</xdr:rowOff>
    </xdr:to>
    <xdr:graphicFrame macro="">
      <xdr:nvGraphicFramePr>
        <xdr:cNvPr id="33" name="Chart 32">
          <a:extLst>
            <a:ext uri="{FF2B5EF4-FFF2-40B4-BE49-F238E27FC236}">
              <a16:creationId xmlns:a16="http://schemas.microsoft.com/office/drawing/2014/main" id="{95B5A8BF-50A4-41D3-9502-42E4860B6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424543</xdr:colOff>
      <xdr:row>0</xdr:row>
      <xdr:rowOff>141514</xdr:rowOff>
    </xdr:from>
    <xdr:to>
      <xdr:col>19</xdr:col>
      <xdr:colOff>381000</xdr:colOff>
      <xdr:row>16</xdr:row>
      <xdr:rowOff>21772</xdr:rowOff>
    </xdr:to>
    <xdr:sp macro="" textlink="">
      <xdr:nvSpPr>
        <xdr:cNvPr id="39" name="Rectangle 38">
          <a:extLst>
            <a:ext uri="{FF2B5EF4-FFF2-40B4-BE49-F238E27FC236}">
              <a16:creationId xmlns:a16="http://schemas.microsoft.com/office/drawing/2014/main" id="{E76EDA00-9E3C-30A6-16D9-0DD322310AA8}"/>
            </a:ext>
          </a:extLst>
        </xdr:cNvPr>
        <xdr:cNvSpPr/>
      </xdr:nvSpPr>
      <xdr:spPr>
        <a:xfrm>
          <a:off x="6901543" y="141514"/>
          <a:ext cx="4833257" cy="28411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123108</xdr:colOff>
          <xdr:row>3</xdr:row>
          <xdr:rowOff>113606</xdr:rowOff>
        </xdr:from>
        <xdr:to>
          <xdr:col>18</xdr:col>
          <xdr:colOff>544582</xdr:colOff>
          <xdr:row>14</xdr:row>
          <xdr:rowOff>97970</xdr:rowOff>
        </xdr:to>
        <xdr:pic>
          <xdr:nvPicPr>
            <xdr:cNvPr id="38" name="Picture 37">
              <a:extLst>
                <a:ext uri="{FF2B5EF4-FFF2-40B4-BE49-F238E27FC236}">
                  <a16:creationId xmlns:a16="http://schemas.microsoft.com/office/drawing/2014/main" id="{B32030D4-6BF4-D49F-50E7-4886D4B14500}"/>
                </a:ext>
              </a:extLst>
            </xdr:cNvPr>
            <xdr:cNvPicPr>
              <a:picLocks noChangeAspect="1" noChangeArrowheads="1"/>
              <a:extLst>
                <a:ext uri="{84589F7E-364E-4C9E-8A38-B11213B215E9}">
                  <a14:cameraTool cellRange="'pivot 2'!$H$4:$L$10" spid="_x0000_s1042"/>
                </a:ext>
              </a:extLst>
            </xdr:cNvPicPr>
          </xdr:nvPicPr>
          <xdr:blipFill>
            <a:blip xmlns:r="http://schemas.openxmlformats.org/officeDocument/2006/relationships" r:embed="rId3"/>
            <a:srcRect/>
            <a:stretch>
              <a:fillRect/>
            </a:stretch>
          </xdr:blipFill>
          <xdr:spPr bwMode="auto">
            <a:xfrm>
              <a:off x="7209708" y="668777"/>
              <a:ext cx="4079074" cy="201999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510638</xdr:colOff>
      <xdr:row>0</xdr:row>
      <xdr:rowOff>142736</xdr:rowOff>
    </xdr:from>
    <xdr:to>
      <xdr:col>25</xdr:col>
      <xdr:colOff>76200</xdr:colOff>
      <xdr:row>14</xdr:row>
      <xdr:rowOff>87086</xdr:rowOff>
    </xdr:to>
    <xdr:graphicFrame macro="">
      <xdr:nvGraphicFramePr>
        <xdr:cNvPr id="40" name="Chart 39">
          <a:extLst>
            <a:ext uri="{FF2B5EF4-FFF2-40B4-BE49-F238E27FC236}">
              <a16:creationId xmlns:a16="http://schemas.microsoft.com/office/drawing/2014/main" id="{995306CA-9D40-4D7F-886A-A90F6FE7C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95002</xdr:colOff>
      <xdr:row>16</xdr:row>
      <xdr:rowOff>96982</xdr:rowOff>
    </xdr:from>
    <xdr:to>
      <xdr:col>11</xdr:col>
      <xdr:colOff>318654</xdr:colOff>
      <xdr:row>42</xdr:row>
      <xdr:rowOff>41562</xdr:rowOff>
    </xdr:to>
    <xdr:graphicFrame macro="">
      <xdr:nvGraphicFramePr>
        <xdr:cNvPr id="41" name="Chart 40">
          <a:extLst>
            <a:ext uri="{FF2B5EF4-FFF2-40B4-BE49-F238E27FC236}">
              <a16:creationId xmlns:a16="http://schemas.microsoft.com/office/drawing/2014/main" id="{FAEB81FC-7257-4106-9154-D9A47FBF1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31927</xdr:colOff>
      <xdr:row>34</xdr:row>
      <xdr:rowOff>133726</xdr:rowOff>
    </xdr:from>
    <xdr:to>
      <xdr:col>9</xdr:col>
      <xdr:colOff>124691</xdr:colOff>
      <xdr:row>41</xdr:row>
      <xdr:rowOff>34334</xdr:rowOff>
    </xdr:to>
    <xdr:graphicFrame macro="">
      <xdr:nvGraphicFramePr>
        <xdr:cNvPr id="42" name="Chart 41">
          <a:extLst>
            <a:ext uri="{FF2B5EF4-FFF2-40B4-BE49-F238E27FC236}">
              <a16:creationId xmlns:a16="http://schemas.microsoft.com/office/drawing/2014/main" id="{42343822-B03C-468C-AD44-647853F58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422134</xdr:colOff>
      <xdr:row>16</xdr:row>
      <xdr:rowOff>141515</xdr:rowOff>
    </xdr:from>
    <xdr:to>
      <xdr:col>19</xdr:col>
      <xdr:colOff>422134</xdr:colOff>
      <xdr:row>42</xdr:row>
      <xdr:rowOff>30463</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34A44970-A5F1-4754-8BEC-EBC3F6407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99134" y="3102429"/>
              <a:ext cx="4876800" cy="47004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571653</xdr:colOff>
      <xdr:row>21</xdr:row>
      <xdr:rowOff>134932</xdr:rowOff>
    </xdr:from>
    <xdr:to>
      <xdr:col>19</xdr:col>
      <xdr:colOff>86388</xdr:colOff>
      <xdr:row>29</xdr:row>
      <xdr:rowOff>107577</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40C3AD8B-DDE4-44E6-8719-87471DC3CF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10100" y="3900108"/>
              <a:ext cx="1343535" cy="14069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540327</xdr:colOff>
      <xdr:row>15</xdr:row>
      <xdr:rowOff>17815</xdr:rowOff>
    </xdr:from>
    <xdr:to>
      <xdr:col>25</xdr:col>
      <xdr:colOff>76200</xdr:colOff>
      <xdr:row>28</xdr:row>
      <xdr:rowOff>87086</xdr:rowOff>
    </xdr:to>
    <xdr:graphicFrame macro="">
      <xdr:nvGraphicFramePr>
        <xdr:cNvPr id="46" name="Chart 45">
          <a:extLst>
            <a:ext uri="{FF2B5EF4-FFF2-40B4-BE49-F238E27FC236}">
              <a16:creationId xmlns:a16="http://schemas.microsoft.com/office/drawing/2014/main" id="{25C241B2-9143-425B-9C2C-CE977652E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559129</xdr:colOff>
      <xdr:row>29</xdr:row>
      <xdr:rowOff>10886</xdr:rowOff>
    </xdr:from>
    <xdr:to>
      <xdr:col>25</xdr:col>
      <xdr:colOff>60365</xdr:colOff>
      <xdr:row>42</xdr:row>
      <xdr:rowOff>0</xdr:rowOff>
    </xdr:to>
    <xdr:graphicFrame macro="">
      <xdr:nvGraphicFramePr>
        <xdr:cNvPr id="47" name="Chart 46">
          <a:extLst>
            <a:ext uri="{FF2B5EF4-FFF2-40B4-BE49-F238E27FC236}">
              <a16:creationId xmlns:a16="http://schemas.microsoft.com/office/drawing/2014/main" id="{0AE0EC0A-AE42-432A-B1C5-B8A15BF56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139535</xdr:colOff>
      <xdr:row>24</xdr:row>
      <xdr:rowOff>88077</xdr:rowOff>
    </xdr:from>
    <xdr:to>
      <xdr:col>2</xdr:col>
      <xdr:colOff>108857</xdr:colOff>
      <xdr:row>32</xdr:row>
      <xdr:rowOff>87086</xdr:rowOff>
    </xdr:to>
    <mc:AlternateContent xmlns:mc="http://schemas.openxmlformats.org/markup-compatibility/2006">
      <mc:Choice xmlns:a14="http://schemas.microsoft.com/office/drawing/2010/main" Requires="a14">
        <xdr:graphicFrame macro="">
          <xdr:nvGraphicFramePr>
            <xdr:cNvPr id="48" name="Gender Value">
              <a:extLst>
                <a:ext uri="{FF2B5EF4-FFF2-40B4-BE49-F238E27FC236}">
                  <a16:creationId xmlns:a16="http://schemas.microsoft.com/office/drawing/2014/main" id="{0D27641F-0902-4AC1-8894-ADA81DF6D86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39535" y="4529448"/>
              <a:ext cx="1721922" cy="1479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137308</xdr:colOff>
      <xdr:row>33</xdr:row>
      <xdr:rowOff>247</xdr:rowOff>
    </xdr:from>
    <xdr:to>
      <xdr:col>2</xdr:col>
      <xdr:colOff>97971</xdr:colOff>
      <xdr:row>42</xdr:row>
      <xdr:rowOff>87087</xdr:rowOff>
    </xdr:to>
    <mc:AlternateContent xmlns:mc="http://schemas.openxmlformats.org/markup-compatibility/2006">
      <mc:Choice xmlns:a14="http://schemas.microsoft.com/office/drawing/2010/main" Requires="a14">
        <xdr:graphicFrame macro="">
          <xdr:nvGraphicFramePr>
            <xdr:cNvPr id="49" name="Order Mode">
              <a:extLst>
                <a:ext uri="{FF2B5EF4-FFF2-40B4-BE49-F238E27FC236}">
                  <a16:creationId xmlns:a16="http://schemas.microsoft.com/office/drawing/2014/main" id="{6DF06091-AD1B-4B5F-8991-B278C2E3E66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37308" y="6107133"/>
              <a:ext cx="1713263" cy="1752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476993</xdr:colOff>
      <xdr:row>2</xdr:row>
      <xdr:rowOff>13855</xdr:rowOff>
    </xdr:from>
    <xdr:to>
      <xdr:col>17</xdr:col>
      <xdr:colOff>227611</xdr:colOff>
      <xdr:row>3</xdr:row>
      <xdr:rowOff>1</xdr:rowOff>
    </xdr:to>
    <xdr:sp macro="" textlink="">
      <xdr:nvSpPr>
        <xdr:cNvPr id="50" name="TextBox 49">
          <a:extLst>
            <a:ext uri="{FF2B5EF4-FFF2-40B4-BE49-F238E27FC236}">
              <a16:creationId xmlns:a16="http://schemas.microsoft.com/office/drawing/2014/main" id="{CCBEFDE3-F386-471D-6F60-BEB0FADBABA8}"/>
            </a:ext>
          </a:extLst>
        </xdr:cNvPr>
        <xdr:cNvSpPr txBox="1"/>
      </xdr:nvSpPr>
      <xdr:spPr>
        <a:xfrm>
          <a:off x="7563593" y="383969"/>
          <a:ext cx="2798618" cy="17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How they like to buy?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 refreshedDate="46231.564508101852" createdVersion="8" refreshedVersion="8" minRefreshableVersion="3" recordCount="2400" xr:uid="{AAD59487-B603-4DDD-9341-23D77CACBB8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03312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5404D-0F29-493F-9B29-740664C2A36D}" name="pivot month"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9:X1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10" series="1">
      <pivotArea type="data" outline="0" fieldPosition="0">
        <references count="2">
          <reference field="4294967294" count="1" selected="0">
            <x v="0"/>
          </reference>
          <reference field="9" count="1" selected="0">
            <x v="0"/>
          </reference>
        </references>
      </pivotArea>
    </chartFormat>
    <chartFormat chart="10" format="11" series="1">
      <pivotArea type="data" outline="0" fieldPosition="0">
        <references count="2">
          <reference field="4294967294" count="1" selected="0">
            <x v="0"/>
          </reference>
          <reference field="9" count="1" selected="0">
            <x v="1"/>
          </reference>
        </references>
      </pivotArea>
    </chartFormat>
    <chartFormat chart="10" format="12" series="1">
      <pivotArea type="data" outline="0" fieldPosition="0">
        <references count="2">
          <reference field="4294967294" count="1" selected="0">
            <x v="0"/>
          </reference>
          <reference field="9" count="1" selected="0">
            <x v="2"/>
          </reference>
        </references>
      </pivotArea>
    </chartFormat>
    <chartFormat chart="10" format="13" series="1">
      <pivotArea type="data" outline="0" fieldPosition="0">
        <references count="2">
          <reference field="4294967294" count="1" selected="0">
            <x v="0"/>
          </reference>
          <reference field="9" count="1" selected="0">
            <x v="3"/>
          </reference>
        </references>
      </pivotArea>
    </chartFormat>
    <chartFormat chart="10"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3F925-DC70-4A9C-ADEB-37B3A1569266}"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9:P2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4B9D45-C32F-416D-A4B4-90BE00CFAEC8}" name="mapPivot"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34:N9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C40465-2668-4774-9C93-1B3299F58C63}" name="gender pivot"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location ref="E34:F39"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4" count="1" selected="0">
            <x v="0"/>
          </reference>
        </references>
      </pivotArea>
    </chartFormat>
    <chartFormat chart="23" format="8">
      <pivotArea type="data" outline="0" fieldPosition="0">
        <references count="2">
          <reference field="4294967294" count="1" selected="0">
            <x v="0"/>
          </reference>
          <reference field="14" count="1" selected="0">
            <x v="1"/>
          </reference>
        </references>
      </pivotArea>
    </chartFormat>
    <chartFormat chart="23" format="9">
      <pivotArea type="data" outline="0" fieldPosition="0">
        <references count="2">
          <reference field="4294967294" count="1" selected="0">
            <x v="0"/>
          </reference>
          <reference field="14" count="1" selected="0">
            <x v="2"/>
          </reference>
        </references>
      </pivotArea>
    </chartFormat>
    <chartFormat chart="2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9ED50-26F1-44F9-97E7-985E3911EDB1}" name="orderQuantit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9:M1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sd="0"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D0908-87ED-4EB4-BF94-B73E850A260A}" name="popular item pivot"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E9:J31"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17" format="8" series="1">
      <pivotArea type="data" outline="0" fieldPosition="0">
        <references count="2">
          <reference field="4294967294" count="1" selected="0">
            <x v="0"/>
          </reference>
          <reference field="7" count="1" selected="0">
            <x v="0"/>
          </reference>
        </references>
      </pivotArea>
    </chartFormat>
    <chartFormat chart="17" format="9" series="1">
      <pivotArea type="data" outline="0" fieldPosition="0">
        <references count="2">
          <reference field="4294967294" count="1" selected="0">
            <x v="0"/>
          </reference>
          <reference field="7" count="1" selected="0">
            <x v="1"/>
          </reference>
        </references>
      </pivotArea>
    </chartFormat>
    <chartFormat chart="17" format="10" series="1">
      <pivotArea type="data" outline="0" fieldPosition="0">
        <references count="2">
          <reference field="4294967294" count="1" selected="0">
            <x v="0"/>
          </reference>
          <reference field="7" count="1" selected="0">
            <x v="2"/>
          </reference>
        </references>
      </pivotArea>
    </chartFormat>
    <chartFormat chart="17"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BB2B43-9DF6-4862-8427-E728D2BECACA}" name="pivot-week"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1BDB65-6A8B-4FB0-8C00-F4B92CE64499}" name="pivotTableSumma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sumSubtotal="1">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sum"/>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B5BFC0-7C86-42A8-B793-F8E807E50CD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dataField="1"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Gender Value"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73D5AF5-EAE6-47C9-ADC9-BB09BED65435}" sourceName="Gender Value">
  <pivotTables>
    <pivotTable tabId="5" name="pivot month"/>
    <pivotTable tabId="5" name="pivotTableSummary"/>
    <pivotTable tabId="5" name="mapPivot"/>
    <pivotTable tabId="5" name="pivot-week"/>
    <pivotTable tabId="5" name="orderQuantity"/>
    <pivotTable tabId="5" name="PivotTable10"/>
  </pivotTables>
  <data>
    <tabular pivotCacheId="200331218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87BB54B-68E7-4578-8425-200934EAF381}" sourceName="Order Mode">
  <pivotTables>
    <pivotTable tabId="5" name="pivot month"/>
    <pivotTable tabId="5" name="gender pivot"/>
    <pivotTable tabId="5" name="mapPivot"/>
    <pivotTable tabId="5" name="orderQuantity"/>
    <pivotTable tabId="5" name="PivotTable10"/>
    <pivotTable tabId="5" name="pivotTableSummary"/>
    <pivotTable tabId="5" name="pivot-week"/>
    <pivotTable tabId="5" name="popular item pivot"/>
  </pivotTables>
  <data>
    <tabular pivotCacheId="2003312187">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6B814D4D-D8EC-4BBD-B202-7853AEB98891}" cache="Slicer_Gender_Value" caption="Gender Value" style="SlicerStyleLight5" rowHeight="247650"/>
  <slicer name="Order Mode" xr10:uid="{DE3A35DD-6DBC-4901-98D2-BF5BA09C5E95}" cache="Slicer_Order_Mode" caption="Order Mod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 lavida">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360" workbookViewId="0">
      <selection activeCell="C2" sqref="C2"/>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8.88671875" bestFit="1" customWidth="1"/>
    <col min="12" max="12" width="20" bestFit="1" customWidth="1"/>
    <col min="13" max="13" width="15.5546875" bestFit="1" customWidth="1"/>
    <col min="14" max="14" width="11.5546875" bestFit="1" customWidth="1"/>
    <col min="15" max="15" width="14.3320312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58AB-4F02-4C44-ACBF-A9D453CEF84D}">
  <dimension ref="A3:Z92"/>
  <sheetViews>
    <sheetView topLeftCell="K46" zoomScale="70" zoomScaleNormal="70" workbookViewId="0">
      <selection activeCell="T25" sqref="T1:Z1048576"/>
    </sheetView>
  </sheetViews>
  <sheetFormatPr defaultRowHeight="14.4" x14ac:dyDescent="0.3"/>
  <cols>
    <col min="1" max="1" width="13.88671875" bestFit="1" customWidth="1"/>
    <col min="2" max="2" width="14.6640625" bestFit="1" customWidth="1"/>
    <col min="3" max="3" width="13.88671875" bestFit="1" customWidth="1"/>
    <col min="4" max="4" width="17.21875" bestFit="1" customWidth="1"/>
    <col min="5" max="5" width="23.33203125" bestFit="1" customWidth="1"/>
    <col min="6" max="6" width="14.21875" bestFit="1" customWidth="1"/>
    <col min="7" max="7" width="19.44140625" bestFit="1" customWidth="1"/>
    <col min="8" max="8" width="14.6640625" bestFit="1" customWidth="1"/>
    <col min="9" max="9" width="8" bestFit="1" customWidth="1"/>
    <col min="10" max="10" width="10.77734375" bestFit="1" customWidth="1"/>
    <col min="11" max="11" width="16.77734375" bestFit="1" customWidth="1"/>
    <col min="12" max="12" width="13.88671875" bestFit="1" customWidth="1"/>
    <col min="13" max="13" width="13" bestFit="1" customWidth="1"/>
    <col min="14" max="15" width="13.88671875" bestFit="1" customWidth="1"/>
    <col min="16" max="16" width="13" bestFit="1" customWidth="1"/>
    <col min="17" max="18" width="13.88671875" bestFit="1" customWidth="1"/>
    <col min="19" max="19" width="17.109375" bestFit="1" customWidth="1"/>
    <col min="20" max="21" width="4.44140625" bestFit="1" customWidth="1"/>
    <col min="22" max="22" width="5.5546875" bestFit="1" customWidth="1"/>
    <col min="23" max="23" width="4.44140625" bestFit="1" customWidth="1"/>
    <col min="24" max="24" width="10.77734375" bestFit="1" customWidth="1"/>
    <col min="25" max="25" width="20.44140625" bestFit="1" customWidth="1"/>
    <col min="26" max="26" width="13.77734375" bestFit="1" customWidth="1"/>
    <col min="27" max="49" width="9.44140625" bestFit="1" customWidth="1"/>
    <col min="50" max="106" width="10" bestFit="1" customWidth="1"/>
    <col min="107" max="107" width="10.77734375" bestFit="1" customWidth="1"/>
  </cols>
  <sheetData>
    <row r="3" spans="1:24" x14ac:dyDescent="0.3">
      <c r="A3" t="s">
        <v>2553</v>
      </c>
      <c r="B3" t="s">
        <v>2554</v>
      </c>
      <c r="C3" t="s">
        <v>2556</v>
      </c>
      <c r="D3" t="s">
        <v>2557</v>
      </c>
      <c r="E3" t="s">
        <v>2558</v>
      </c>
      <c r="G3" t="s">
        <v>2560</v>
      </c>
    </row>
    <row r="4" spans="1:24" x14ac:dyDescent="0.3">
      <c r="A4" s="14">
        <v>2400</v>
      </c>
      <c r="B4" s="14">
        <v>11997</v>
      </c>
      <c r="C4" s="14">
        <v>649019.80000000144</v>
      </c>
      <c r="D4" s="14">
        <v>3.9620833333333332</v>
      </c>
      <c r="E4" s="14">
        <v>2.3424999999999998</v>
      </c>
      <c r="G4" t="s">
        <v>2561</v>
      </c>
      <c r="H4" t="s">
        <v>2562</v>
      </c>
      <c r="I4" t="s">
        <v>4</v>
      </c>
      <c r="J4" t="s">
        <v>2506</v>
      </c>
      <c r="K4" t="s">
        <v>2563</v>
      </c>
    </row>
    <row r="5" spans="1:24" x14ac:dyDescent="0.3">
      <c r="G5" t="str">
        <f>TEXT(A4,"#,###")</f>
        <v>2,400</v>
      </c>
      <c r="H5" t="str">
        <f>TEXT(B4,"#,##")</f>
        <v>11,997</v>
      </c>
      <c r="I5" t="str">
        <f>TEXT(C4,"$#,##,.0k")</f>
        <v>$649.0k</v>
      </c>
      <c r="J5" t="str">
        <f>TEXT(D4,"0.0")</f>
        <v>4.0</v>
      </c>
      <c r="K5" t="str">
        <f>TEXT(E4,"0.0")</f>
        <v>2.3</v>
      </c>
    </row>
    <row r="9" spans="1:24" x14ac:dyDescent="0.3">
      <c r="A9" s="12" t="s">
        <v>2551</v>
      </c>
      <c r="B9" t="s">
        <v>2554</v>
      </c>
      <c r="C9" t="s">
        <v>2556</v>
      </c>
      <c r="E9" s="12" t="s">
        <v>2554</v>
      </c>
      <c r="F9" s="12" t="s">
        <v>2555</v>
      </c>
      <c r="L9" s="12" t="s">
        <v>2551</v>
      </c>
      <c r="M9" t="s">
        <v>2553</v>
      </c>
      <c r="O9" s="12" t="s">
        <v>2551</v>
      </c>
      <c r="P9" t="s">
        <v>2553</v>
      </c>
      <c r="R9" s="12" t="s">
        <v>2553</v>
      </c>
      <c r="S9" s="12" t="s">
        <v>2555</v>
      </c>
    </row>
    <row r="10" spans="1:24" x14ac:dyDescent="0.3">
      <c r="A10" s="13">
        <v>1</v>
      </c>
      <c r="B10" s="14">
        <v>546</v>
      </c>
      <c r="C10" s="16">
        <v>32413.300000000003</v>
      </c>
      <c r="E10" s="12" t="s">
        <v>2551</v>
      </c>
      <c r="G10" t="s">
        <v>27</v>
      </c>
      <c r="H10" t="s">
        <v>23</v>
      </c>
      <c r="I10" t="s">
        <v>89</v>
      </c>
      <c r="J10" t="s">
        <v>2552</v>
      </c>
      <c r="L10" s="13">
        <v>1</v>
      </c>
      <c r="M10" s="14">
        <v>397</v>
      </c>
      <c r="O10" s="13">
        <v>0</v>
      </c>
      <c r="P10" s="14">
        <v>175</v>
      </c>
      <c r="R10" s="12" t="s">
        <v>2551</v>
      </c>
      <c r="S10">
        <v>1</v>
      </c>
      <c r="T10">
        <v>2</v>
      </c>
      <c r="U10">
        <v>3</v>
      </c>
      <c r="V10">
        <v>4</v>
      </c>
      <c r="W10">
        <v>5</v>
      </c>
      <c r="X10" t="s">
        <v>2552</v>
      </c>
    </row>
    <row r="11" spans="1:24" x14ac:dyDescent="0.3">
      <c r="A11" s="13">
        <v>2</v>
      </c>
      <c r="B11" s="14">
        <v>905</v>
      </c>
      <c r="C11" s="16">
        <v>49562.999999999993</v>
      </c>
      <c r="E11" s="13" t="s">
        <v>44</v>
      </c>
      <c r="F11" s="14">
        <v>98</v>
      </c>
      <c r="G11" s="14">
        <v>744</v>
      </c>
      <c r="H11" s="14">
        <v>713</v>
      </c>
      <c r="I11" s="14">
        <v>90</v>
      </c>
      <c r="J11" s="14">
        <v>1645</v>
      </c>
      <c r="L11" s="13">
        <v>2</v>
      </c>
      <c r="M11" s="14">
        <v>540</v>
      </c>
      <c r="O11" s="13">
        <v>1</v>
      </c>
      <c r="P11" s="14">
        <v>888</v>
      </c>
      <c r="R11" s="13" t="s">
        <v>2576</v>
      </c>
      <c r="S11" s="14">
        <v>7</v>
      </c>
      <c r="T11" s="14">
        <v>37</v>
      </c>
      <c r="U11" s="14">
        <v>150</v>
      </c>
      <c r="V11" s="14">
        <v>312</v>
      </c>
      <c r="W11" s="14">
        <v>224</v>
      </c>
      <c r="X11" s="14">
        <v>730</v>
      </c>
    </row>
    <row r="12" spans="1:24" x14ac:dyDescent="0.3">
      <c r="A12" s="13">
        <v>3</v>
      </c>
      <c r="B12" s="14">
        <v>796</v>
      </c>
      <c r="C12" s="16">
        <v>41700.400000000016</v>
      </c>
      <c r="E12" s="13" t="s">
        <v>39</v>
      </c>
      <c r="F12" s="14">
        <v>214</v>
      </c>
      <c r="G12" s="14">
        <v>716</v>
      </c>
      <c r="H12" s="14">
        <v>598</v>
      </c>
      <c r="I12" s="14">
        <v>18</v>
      </c>
      <c r="J12" s="14">
        <v>1546</v>
      </c>
      <c r="L12" s="13">
        <v>3</v>
      </c>
      <c r="M12" s="14">
        <v>375</v>
      </c>
      <c r="O12" s="13">
        <v>2</v>
      </c>
      <c r="P12" s="14">
        <v>538</v>
      </c>
      <c r="R12" s="13" t="s">
        <v>2577</v>
      </c>
      <c r="S12" s="14">
        <v>8</v>
      </c>
      <c r="T12" s="14">
        <v>51</v>
      </c>
      <c r="U12" s="14">
        <v>182</v>
      </c>
      <c r="V12" s="14">
        <v>373</v>
      </c>
      <c r="W12" s="14">
        <v>247</v>
      </c>
      <c r="X12" s="14">
        <v>861</v>
      </c>
    </row>
    <row r="13" spans="1:24" x14ac:dyDescent="0.3">
      <c r="A13" s="13">
        <v>4</v>
      </c>
      <c r="B13" s="14">
        <v>913</v>
      </c>
      <c r="C13" s="16">
        <v>46782.599999999984</v>
      </c>
      <c r="E13" s="13" t="s">
        <v>26</v>
      </c>
      <c r="F13" s="14">
        <v>137</v>
      </c>
      <c r="G13" s="14">
        <v>627</v>
      </c>
      <c r="H13" s="14">
        <v>393</v>
      </c>
      <c r="I13" s="14">
        <v>29</v>
      </c>
      <c r="J13" s="14">
        <v>1186</v>
      </c>
      <c r="L13" s="13">
        <v>4</v>
      </c>
      <c r="M13" s="14">
        <v>246</v>
      </c>
      <c r="O13" s="13">
        <v>3</v>
      </c>
      <c r="P13" s="14">
        <v>344</v>
      </c>
      <c r="R13" s="13" t="s">
        <v>2578</v>
      </c>
      <c r="S13" s="14">
        <v>6</v>
      </c>
      <c r="T13" s="14">
        <v>39</v>
      </c>
      <c r="U13" s="14">
        <v>163</v>
      </c>
      <c r="V13" s="14">
        <v>351</v>
      </c>
      <c r="W13" s="14">
        <v>250</v>
      </c>
      <c r="X13" s="14">
        <v>809</v>
      </c>
    </row>
    <row r="14" spans="1:24" x14ac:dyDescent="0.3">
      <c r="A14" s="13">
        <v>5</v>
      </c>
      <c r="B14" s="14">
        <v>844</v>
      </c>
      <c r="C14" s="16">
        <v>42676.100000000006</v>
      </c>
      <c r="E14" s="13" t="s">
        <v>22</v>
      </c>
      <c r="F14" s="14">
        <v>16</v>
      </c>
      <c r="G14" s="14">
        <v>568</v>
      </c>
      <c r="H14" s="14">
        <v>306</v>
      </c>
      <c r="I14" s="14">
        <v>22</v>
      </c>
      <c r="J14" s="14">
        <v>912</v>
      </c>
      <c r="L14" s="13">
        <v>5</v>
      </c>
      <c r="M14" s="14">
        <v>195</v>
      </c>
      <c r="O14" s="13">
        <v>4</v>
      </c>
      <c r="P14" s="14">
        <v>200</v>
      </c>
      <c r="R14" s="13" t="s">
        <v>2552</v>
      </c>
      <c r="S14" s="14">
        <v>21</v>
      </c>
      <c r="T14" s="14">
        <v>127</v>
      </c>
      <c r="U14" s="14">
        <v>495</v>
      </c>
      <c r="V14" s="14">
        <v>1036</v>
      </c>
      <c r="W14" s="14">
        <v>721</v>
      </c>
      <c r="X14" s="14">
        <v>2400</v>
      </c>
    </row>
    <row r="15" spans="1:24" x14ac:dyDescent="0.3">
      <c r="A15" s="13">
        <v>6</v>
      </c>
      <c r="B15" s="14">
        <v>1202</v>
      </c>
      <c r="C15" s="16">
        <v>62910.7</v>
      </c>
      <c r="E15" s="13" t="s">
        <v>54</v>
      </c>
      <c r="F15" s="14">
        <v>22</v>
      </c>
      <c r="G15" s="14">
        <v>482</v>
      </c>
      <c r="H15" s="14">
        <v>295</v>
      </c>
      <c r="I15" s="14">
        <v>8</v>
      </c>
      <c r="J15" s="14">
        <v>807</v>
      </c>
      <c r="L15" s="13" t="s">
        <v>2570</v>
      </c>
      <c r="M15" s="14">
        <v>414</v>
      </c>
      <c r="O15" s="13">
        <v>5</v>
      </c>
      <c r="P15" s="14">
        <v>94</v>
      </c>
    </row>
    <row r="16" spans="1:24" x14ac:dyDescent="0.3">
      <c r="A16" s="13">
        <v>7</v>
      </c>
      <c r="B16" s="14">
        <v>935</v>
      </c>
      <c r="C16" s="16">
        <v>50332.200000000004</v>
      </c>
      <c r="E16" s="13" t="s">
        <v>16</v>
      </c>
      <c r="F16" s="14">
        <v>24</v>
      </c>
      <c r="G16" s="14">
        <v>428</v>
      </c>
      <c r="H16" s="14">
        <v>293</v>
      </c>
      <c r="I16" s="14"/>
      <c r="J16" s="14">
        <v>745</v>
      </c>
      <c r="L16" s="13" t="s">
        <v>2571</v>
      </c>
      <c r="M16" s="14">
        <v>233</v>
      </c>
      <c r="O16" s="13">
        <v>6</v>
      </c>
      <c r="P16" s="14">
        <v>51</v>
      </c>
    </row>
    <row r="17" spans="1:16" x14ac:dyDescent="0.3">
      <c r="A17" s="13">
        <v>8</v>
      </c>
      <c r="B17" s="14">
        <v>1128</v>
      </c>
      <c r="C17" s="16">
        <v>58760.599999999977</v>
      </c>
      <c r="E17" s="13" t="s">
        <v>46</v>
      </c>
      <c r="F17" s="14">
        <v>39</v>
      </c>
      <c r="G17" s="14">
        <v>445</v>
      </c>
      <c r="H17" s="14">
        <v>202</v>
      </c>
      <c r="I17" s="14">
        <v>14</v>
      </c>
      <c r="J17" s="14">
        <v>700</v>
      </c>
      <c r="L17" s="13" t="s">
        <v>2552</v>
      </c>
      <c r="M17" s="14">
        <v>2400</v>
      </c>
      <c r="O17" s="13">
        <v>7</v>
      </c>
      <c r="P17" s="14">
        <v>32</v>
      </c>
    </row>
    <row r="18" spans="1:16" x14ac:dyDescent="0.3">
      <c r="A18" s="13">
        <v>9</v>
      </c>
      <c r="B18" s="14">
        <v>1007</v>
      </c>
      <c r="C18" s="16">
        <v>52017.299999999996</v>
      </c>
      <c r="E18" s="13" t="s">
        <v>32</v>
      </c>
      <c r="F18" s="14">
        <v>15</v>
      </c>
      <c r="G18" s="14">
        <v>431</v>
      </c>
      <c r="H18" s="14">
        <v>187</v>
      </c>
      <c r="I18" s="14">
        <v>14</v>
      </c>
      <c r="J18" s="14">
        <v>647</v>
      </c>
      <c r="O18" s="13">
        <v>8</v>
      </c>
      <c r="P18" s="14">
        <v>23</v>
      </c>
    </row>
    <row r="19" spans="1:16" x14ac:dyDescent="0.3">
      <c r="A19" s="13">
        <v>10</v>
      </c>
      <c r="B19" s="14">
        <v>1128</v>
      </c>
      <c r="C19" s="16">
        <v>64915.700000000033</v>
      </c>
      <c r="E19" s="13" t="s">
        <v>42</v>
      </c>
      <c r="F19" s="14">
        <v>9</v>
      </c>
      <c r="G19" s="14">
        <v>264</v>
      </c>
      <c r="H19" s="14">
        <v>318</v>
      </c>
      <c r="I19" s="14">
        <v>15</v>
      </c>
      <c r="J19" s="14">
        <v>606</v>
      </c>
      <c r="O19" s="13">
        <v>9</v>
      </c>
      <c r="P19" s="14">
        <v>9</v>
      </c>
    </row>
    <row r="20" spans="1:16" x14ac:dyDescent="0.3">
      <c r="A20" s="13">
        <v>11</v>
      </c>
      <c r="B20" s="14">
        <v>861</v>
      </c>
      <c r="C20" s="16">
        <v>45943.80000000001</v>
      </c>
      <c r="E20" s="13" t="s">
        <v>37</v>
      </c>
      <c r="F20" s="14">
        <v>23</v>
      </c>
      <c r="G20" s="14">
        <v>296</v>
      </c>
      <c r="H20" s="14">
        <v>275</v>
      </c>
      <c r="I20" s="14">
        <v>9</v>
      </c>
      <c r="J20" s="14">
        <v>603</v>
      </c>
      <c r="O20" s="13">
        <v>10</v>
      </c>
      <c r="P20" s="14">
        <v>8</v>
      </c>
    </row>
    <row r="21" spans="1:16" x14ac:dyDescent="0.3">
      <c r="A21" s="13">
        <v>12</v>
      </c>
      <c r="B21" s="14">
        <v>944</v>
      </c>
      <c r="C21" s="16">
        <v>55077.900000000031</v>
      </c>
      <c r="E21" s="13" t="s">
        <v>123</v>
      </c>
      <c r="F21" s="14">
        <v>8</v>
      </c>
      <c r="G21" s="14">
        <v>153</v>
      </c>
      <c r="H21" s="14">
        <v>246</v>
      </c>
      <c r="I21" s="14">
        <v>30</v>
      </c>
      <c r="J21" s="14">
        <v>437</v>
      </c>
      <c r="O21" s="13">
        <v>11</v>
      </c>
      <c r="P21" s="14">
        <v>11</v>
      </c>
    </row>
    <row r="22" spans="1:16" x14ac:dyDescent="0.3">
      <c r="A22" s="13">
        <v>13</v>
      </c>
      <c r="B22" s="14">
        <v>788</v>
      </c>
      <c r="C22" s="16">
        <v>45926.19999999999</v>
      </c>
      <c r="E22" s="13" t="s">
        <v>146</v>
      </c>
      <c r="F22" s="14">
        <v>31</v>
      </c>
      <c r="G22" s="14">
        <v>189</v>
      </c>
      <c r="H22" s="14">
        <v>168</v>
      </c>
      <c r="I22" s="14">
        <v>10</v>
      </c>
      <c r="J22" s="14">
        <v>398</v>
      </c>
      <c r="O22" s="13">
        <v>12</v>
      </c>
      <c r="P22" s="14">
        <v>4</v>
      </c>
    </row>
    <row r="23" spans="1:16" x14ac:dyDescent="0.3">
      <c r="A23" s="13" t="s">
        <v>2552</v>
      </c>
      <c r="B23" s="14">
        <v>11997</v>
      </c>
      <c r="C23" s="16">
        <v>649019.79999999993</v>
      </c>
      <c r="E23" s="13" t="s">
        <v>69</v>
      </c>
      <c r="F23" s="14">
        <v>24</v>
      </c>
      <c r="G23" s="14">
        <v>234</v>
      </c>
      <c r="H23" s="14">
        <v>93</v>
      </c>
      <c r="I23" s="14">
        <v>19</v>
      </c>
      <c r="J23" s="14">
        <v>370</v>
      </c>
      <c r="O23" s="13">
        <v>13</v>
      </c>
      <c r="P23" s="14">
        <v>10</v>
      </c>
    </row>
    <row r="24" spans="1:16" x14ac:dyDescent="0.3">
      <c r="E24" s="13" t="s">
        <v>30</v>
      </c>
      <c r="F24" s="14">
        <v>28</v>
      </c>
      <c r="G24" s="14">
        <v>146</v>
      </c>
      <c r="H24" s="14">
        <v>94</v>
      </c>
      <c r="I24" s="14">
        <v>4</v>
      </c>
      <c r="J24" s="14">
        <v>272</v>
      </c>
      <c r="O24" s="13">
        <v>14</v>
      </c>
      <c r="P24" s="14">
        <v>13</v>
      </c>
    </row>
    <row r="25" spans="1:16" x14ac:dyDescent="0.3">
      <c r="E25" s="13" t="s">
        <v>135</v>
      </c>
      <c r="F25" s="14">
        <v>12</v>
      </c>
      <c r="G25" s="14">
        <v>127</v>
      </c>
      <c r="H25" s="14">
        <v>118</v>
      </c>
      <c r="I25" s="14">
        <v>13</v>
      </c>
      <c r="J25" s="14">
        <v>270</v>
      </c>
      <c r="O25" s="13" t="s">
        <v>2552</v>
      </c>
      <c r="P25" s="14">
        <v>2400</v>
      </c>
    </row>
    <row r="26" spans="1:16" x14ac:dyDescent="0.3">
      <c r="E26" s="13" t="s">
        <v>67</v>
      </c>
      <c r="F26" s="14"/>
      <c r="G26" s="14">
        <v>179</v>
      </c>
      <c r="H26" s="14">
        <v>76</v>
      </c>
      <c r="I26" s="14">
        <v>3</v>
      </c>
      <c r="J26" s="14">
        <v>258</v>
      </c>
    </row>
    <row r="27" spans="1:16" x14ac:dyDescent="0.3">
      <c r="E27" s="13" t="s">
        <v>128</v>
      </c>
      <c r="F27" s="14">
        <v>24</v>
      </c>
      <c r="G27" s="14">
        <v>99</v>
      </c>
      <c r="H27" s="14">
        <v>69</v>
      </c>
      <c r="I27" s="14">
        <v>3</v>
      </c>
      <c r="J27" s="14">
        <v>195</v>
      </c>
    </row>
    <row r="28" spans="1:16" x14ac:dyDescent="0.3">
      <c r="E28" s="13" t="s">
        <v>76</v>
      </c>
      <c r="F28" s="14">
        <v>6</v>
      </c>
      <c r="G28" s="14">
        <v>75</v>
      </c>
      <c r="H28" s="14">
        <v>103</v>
      </c>
      <c r="I28" s="14">
        <v>4</v>
      </c>
      <c r="J28" s="14">
        <v>188</v>
      </c>
    </row>
    <row r="29" spans="1:16" x14ac:dyDescent="0.3">
      <c r="E29" s="13" t="s">
        <v>81</v>
      </c>
      <c r="F29" s="14">
        <v>6</v>
      </c>
      <c r="G29" s="14">
        <v>43</v>
      </c>
      <c r="H29" s="14">
        <v>90</v>
      </c>
      <c r="I29" s="14">
        <v>8</v>
      </c>
      <c r="J29" s="14">
        <v>147</v>
      </c>
    </row>
    <row r="30" spans="1:16" x14ac:dyDescent="0.3">
      <c r="E30" s="13" t="s">
        <v>171</v>
      </c>
      <c r="F30" s="14"/>
      <c r="G30" s="14">
        <v>26</v>
      </c>
      <c r="H30" s="14">
        <v>35</v>
      </c>
      <c r="I30" s="14">
        <v>4</v>
      </c>
      <c r="J30" s="14">
        <v>65</v>
      </c>
    </row>
    <row r="31" spans="1:16" x14ac:dyDescent="0.3">
      <c r="E31" s="13" t="s">
        <v>2552</v>
      </c>
      <c r="F31" s="14">
        <v>736</v>
      </c>
      <c r="G31" s="14">
        <v>6272</v>
      </c>
      <c r="H31" s="14">
        <v>4672</v>
      </c>
      <c r="I31" s="14">
        <v>317</v>
      </c>
      <c r="J31" s="14">
        <v>11997</v>
      </c>
    </row>
    <row r="34" spans="5:26" x14ac:dyDescent="0.3">
      <c r="E34" s="12" t="s">
        <v>2551</v>
      </c>
      <c r="F34" t="s">
        <v>2554</v>
      </c>
      <c r="H34" s="15"/>
      <c r="I34" s="15"/>
      <c r="K34" s="12" t="s">
        <v>10</v>
      </c>
      <c r="L34" s="12" t="s">
        <v>11</v>
      </c>
      <c r="M34" t="s">
        <v>2554</v>
      </c>
      <c r="N34" t="s">
        <v>2556</v>
      </c>
      <c r="T34" t="s">
        <v>10</v>
      </c>
      <c r="U34" t="s">
        <v>11</v>
      </c>
      <c r="V34" t="s">
        <v>2554</v>
      </c>
      <c r="W34" t="s">
        <v>2572</v>
      </c>
      <c r="X34" t="s">
        <v>2573</v>
      </c>
      <c r="Y34" t="s">
        <v>2574</v>
      </c>
      <c r="Z34" t="s">
        <v>2575</v>
      </c>
    </row>
    <row r="35" spans="5:26" x14ac:dyDescent="0.3">
      <c r="E35" s="13" t="s">
        <v>2565</v>
      </c>
      <c r="F35" s="14">
        <v>6272</v>
      </c>
      <c r="H35" s="14"/>
      <c r="I35" s="16"/>
      <c r="K35" t="s">
        <v>19</v>
      </c>
      <c r="L35" t="s">
        <v>115</v>
      </c>
      <c r="M35" s="14">
        <v>579</v>
      </c>
      <c r="N35" s="14">
        <v>31884.999999999996</v>
      </c>
      <c r="T35" t="str">
        <f>IF(K35="","",K35)</f>
        <v>California</v>
      </c>
      <c r="U35" t="str">
        <f>IF(L35="","",L35)</f>
        <v>Alameda County</v>
      </c>
      <c r="V35">
        <f>IF(M35=0,"",M35)</f>
        <v>579</v>
      </c>
      <c r="X35" t="str">
        <f>IF(K35="","",K35)</f>
        <v>California</v>
      </c>
      <c r="Y35" t="str">
        <f>IF(L35="","",L35)</f>
        <v>Alameda County</v>
      </c>
      <c r="Z35">
        <f>IF(N35=0,"",N35)</f>
        <v>31884.999999999996</v>
      </c>
    </row>
    <row r="36" spans="5:26" x14ac:dyDescent="0.3">
      <c r="E36" s="13" t="s">
        <v>2566</v>
      </c>
      <c r="F36" s="14">
        <v>4672</v>
      </c>
      <c r="H36" s="14"/>
      <c r="I36" s="16"/>
      <c r="K36" t="s">
        <v>19</v>
      </c>
      <c r="L36" t="s">
        <v>20</v>
      </c>
      <c r="M36" s="14">
        <v>1</v>
      </c>
      <c r="N36" s="14">
        <v>10.9</v>
      </c>
      <c r="T36" t="str">
        <f t="shared" ref="T36:T92" si="0">IF(K36="","",K36)</f>
        <v>California</v>
      </c>
      <c r="U36" t="str">
        <f t="shared" ref="U36:U92" si="1">IF(L36="","",L36)</f>
        <v>Alpine County</v>
      </c>
      <c r="V36">
        <f t="shared" ref="V36:V92" si="2">IF(M36=0,"",M36)</f>
        <v>1</v>
      </c>
      <c r="X36" t="str">
        <f t="shared" ref="X36:X92" si="3">IF(K36="","",K36)</f>
        <v>California</v>
      </c>
      <c r="Y36" t="str">
        <f t="shared" ref="Y36:Y92" si="4">IF(L36="","",L36)</f>
        <v>Alpine County</v>
      </c>
      <c r="Z36">
        <f t="shared" ref="Z36:Z92" si="5">IF(N36=0,"",N36)</f>
        <v>10.9</v>
      </c>
    </row>
    <row r="37" spans="5:26" x14ac:dyDescent="0.3">
      <c r="E37" s="13" t="s">
        <v>2567</v>
      </c>
      <c r="F37" s="14">
        <v>317</v>
      </c>
      <c r="H37" s="14"/>
      <c r="I37" s="16"/>
      <c r="K37" t="s">
        <v>19</v>
      </c>
      <c r="L37" t="s">
        <v>641</v>
      </c>
      <c r="M37" s="14">
        <v>9</v>
      </c>
      <c r="N37" s="14">
        <v>800.3</v>
      </c>
      <c r="T37" t="str">
        <f t="shared" si="0"/>
        <v>California</v>
      </c>
      <c r="U37" t="str">
        <f t="shared" si="1"/>
        <v>Amador County</v>
      </c>
      <c r="V37">
        <f t="shared" si="2"/>
        <v>9</v>
      </c>
      <c r="X37" t="str">
        <f t="shared" si="3"/>
        <v>California</v>
      </c>
      <c r="Y37" t="str">
        <f t="shared" si="4"/>
        <v>Amador County</v>
      </c>
      <c r="Z37">
        <f t="shared" si="5"/>
        <v>800.3</v>
      </c>
    </row>
    <row r="38" spans="5:26" x14ac:dyDescent="0.3">
      <c r="E38" s="13" t="s">
        <v>2568</v>
      </c>
      <c r="F38" s="14">
        <v>736</v>
      </c>
      <c r="H38" s="14"/>
      <c r="I38" s="16"/>
      <c r="K38" t="s">
        <v>19</v>
      </c>
      <c r="L38" t="s">
        <v>967</v>
      </c>
      <c r="M38" s="14">
        <v>35</v>
      </c>
      <c r="N38" s="14">
        <v>1062.5999999999999</v>
      </c>
      <c r="T38" t="str">
        <f t="shared" si="0"/>
        <v>California</v>
      </c>
      <c r="U38" t="str">
        <f t="shared" si="1"/>
        <v>Butte County</v>
      </c>
      <c r="V38">
        <f t="shared" si="2"/>
        <v>35</v>
      </c>
      <c r="X38" t="str">
        <f t="shared" si="3"/>
        <v>California</v>
      </c>
      <c r="Y38" t="str">
        <f t="shared" si="4"/>
        <v>Butte County</v>
      </c>
      <c r="Z38">
        <f t="shared" si="5"/>
        <v>1062.5999999999999</v>
      </c>
    </row>
    <row r="39" spans="5:26" x14ac:dyDescent="0.3">
      <c r="E39" s="13" t="s">
        <v>2552</v>
      </c>
      <c r="F39" s="14">
        <v>11997</v>
      </c>
      <c r="H39" s="14"/>
      <c r="I39" s="16"/>
      <c r="K39" t="s">
        <v>19</v>
      </c>
      <c r="L39" t="s">
        <v>84</v>
      </c>
      <c r="M39" s="14">
        <v>12</v>
      </c>
      <c r="N39" s="14">
        <v>326.20000000000005</v>
      </c>
      <c r="T39" t="str">
        <f t="shared" si="0"/>
        <v>California</v>
      </c>
      <c r="U39" t="str">
        <f t="shared" si="1"/>
        <v>Calaveras County</v>
      </c>
      <c r="V39">
        <f t="shared" si="2"/>
        <v>12</v>
      </c>
      <c r="X39" t="str">
        <f t="shared" si="3"/>
        <v>California</v>
      </c>
      <c r="Y39" t="str">
        <f t="shared" si="4"/>
        <v>Calaveras County</v>
      </c>
      <c r="Z39">
        <f t="shared" si="5"/>
        <v>326.20000000000005</v>
      </c>
    </row>
    <row r="40" spans="5:26" x14ac:dyDescent="0.3">
      <c r="H40" s="14"/>
      <c r="I40" s="16"/>
      <c r="K40" t="s">
        <v>19</v>
      </c>
      <c r="L40" t="s">
        <v>1383</v>
      </c>
      <c r="M40" s="14">
        <v>4</v>
      </c>
      <c r="N40" s="14">
        <v>167.5</v>
      </c>
      <c r="T40" t="str">
        <f t="shared" si="0"/>
        <v>California</v>
      </c>
      <c r="U40" t="str">
        <f t="shared" si="1"/>
        <v>Colusa County</v>
      </c>
      <c r="V40">
        <f t="shared" si="2"/>
        <v>4</v>
      </c>
      <c r="X40" t="str">
        <f t="shared" si="3"/>
        <v>California</v>
      </c>
      <c r="Y40" t="str">
        <f t="shared" si="4"/>
        <v>Colusa County</v>
      </c>
      <c r="Z40">
        <f t="shared" si="5"/>
        <v>167.5</v>
      </c>
    </row>
    <row r="41" spans="5:26" x14ac:dyDescent="0.3">
      <c r="H41" s="14"/>
      <c r="I41" s="16"/>
      <c r="K41" t="s">
        <v>19</v>
      </c>
      <c r="L41" t="s">
        <v>24</v>
      </c>
      <c r="M41" s="14">
        <v>341</v>
      </c>
      <c r="N41" s="14">
        <v>16168.7</v>
      </c>
      <c r="T41" t="str">
        <f t="shared" si="0"/>
        <v>California</v>
      </c>
      <c r="U41" t="str">
        <f t="shared" si="1"/>
        <v>Contra Costa County</v>
      </c>
      <c r="V41">
        <f t="shared" si="2"/>
        <v>341</v>
      </c>
      <c r="X41" t="str">
        <f t="shared" si="3"/>
        <v>California</v>
      </c>
      <c r="Y41" t="str">
        <f t="shared" si="4"/>
        <v>Contra Costa County</v>
      </c>
      <c r="Z41">
        <f t="shared" si="5"/>
        <v>16168.7</v>
      </c>
    </row>
    <row r="42" spans="5:26" x14ac:dyDescent="0.3">
      <c r="H42" s="14"/>
      <c r="I42" s="16"/>
      <c r="K42" t="s">
        <v>19</v>
      </c>
      <c r="L42" t="s">
        <v>2204</v>
      </c>
      <c r="M42" s="14">
        <v>13</v>
      </c>
      <c r="N42" s="14">
        <v>322.40000000000003</v>
      </c>
      <c r="T42" t="str">
        <f t="shared" si="0"/>
        <v>California</v>
      </c>
      <c r="U42" t="str">
        <f t="shared" si="1"/>
        <v>Del Norte County</v>
      </c>
      <c r="V42">
        <f t="shared" si="2"/>
        <v>13</v>
      </c>
      <c r="X42" t="str">
        <f t="shared" si="3"/>
        <v>California</v>
      </c>
      <c r="Y42" t="str">
        <f t="shared" si="4"/>
        <v>Del Norte County</v>
      </c>
      <c r="Z42">
        <f t="shared" si="5"/>
        <v>322.40000000000003</v>
      </c>
    </row>
    <row r="43" spans="5:26" x14ac:dyDescent="0.3">
      <c r="H43" s="14"/>
      <c r="I43" s="16"/>
      <c r="K43" t="s">
        <v>19</v>
      </c>
      <c r="L43" t="s">
        <v>437</v>
      </c>
      <c r="M43" s="14">
        <v>31</v>
      </c>
      <c r="N43" s="14">
        <v>2092.8000000000002</v>
      </c>
      <c r="T43" t="str">
        <f t="shared" si="0"/>
        <v>California</v>
      </c>
      <c r="U43" t="str">
        <f t="shared" si="1"/>
        <v>El Dorado County</v>
      </c>
      <c r="V43">
        <f t="shared" si="2"/>
        <v>31</v>
      </c>
      <c r="X43" t="str">
        <f t="shared" si="3"/>
        <v>California</v>
      </c>
      <c r="Y43" t="str">
        <f t="shared" si="4"/>
        <v>El Dorado County</v>
      </c>
      <c r="Z43">
        <f t="shared" si="5"/>
        <v>2092.8000000000002</v>
      </c>
    </row>
    <row r="44" spans="5:26" x14ac:dyDescent="0.3">
      <c r="H44" s="14"/>
      <c r="I44" s="16"/>
      <c r="K44" t="s">
        <v>19</v>
      </c>
      <c r="L44" t="s">
        <v>28</v>
      </c>
      <c r="M44" s="14">
        <v>279</v>
      </c>
      <c r="N44" s="14">
        <v>12662.500000000002</v>
      </c>
      <c r="T44" t="str">
        <f t="shared" si="0"/>
        <v>California</v>
      </c>
      <c r="U44" t="str">
        <f t="shared" si="1"/>
        <v>Fresno County</v>
      </c>
      <c r="V44">
        <f t="shared" si="2"/>
        <v>279</v>
      </c>
      <c r="X44" t="str">
        <f t="shared" si="3"/>
        <v>California</v>
      </c>
      <c r="Y44" t="str">
        <f t="shared" si="4"/>
        <v>Fresno County</v>
      </c>
      <c r="Z44">
        <f t="shared" si="5"/>
        <v>12662.500000000002</v>
      </c>
    </row>
    <row r="45" spans="5:26" x14ac:dyDescent="0.3">
      <c r="H45" s="14"/>
      <c r="I45" s="16"/>
      <c r="K45" t="s">
        <v>19</v>
      </c>
      <c r="L45" t="s">
        <v>208</v>
      </c>
      <c r="M45" s="14">
        <v>9</v>
      </c>
      <c r="N45" s="14">
        <v>343.2</v>
      </c>
      <c r="T45" t="str">
        <f t="shared" si="0"/>
        <v>California</v>
      </c>
      <c r="U45" t="str">
        <f t="shared" si="1"/>
        <v>Glenn County</v>
      </c>
      <c r="V45">
        <f t="shared" si="2"/>
        <v>9</v>
      </c>
      <c r="X45" t="str">
        <f t="shared" si="3"/>
        <v>California</v>
      </c>
      <c r="Y45" t="str">
        <f t="shared" si="4"/>
        <v>Glenn County</v>
      </c>
      <c r="Z45">
        <f t="shared" si="5"/>
        <v>343.2</v>
      </c>
    </row>
    <row r="46" spans="5:26" x14ac:dyDescent="0.3">
      <c r="H46" s="14"/>
      <c r="I46" s="16"/>
      <c r="K46" t="s">
        <v>19</v>
      </c>
      <c r="L46" t="s">
        <v>587</v>
      </c>
      <c r="M46" s="14">
        <v>49</v>
      </c>
      <c r="N46" s="14">
        <v>2188.2999999999997</v>
      </c>
      <c r="T46" t="str">
        <f t="shared" si="0"/>
        <v>California</v>
      </c>
      <c r="U46" t="str">
        <f t="shared" si="1"/>
        <v>Humboldt County</v>
      </c>
      <c r="V46">
        <f t="shared" si="2"/>
        <v>49</v>
      </c>
      <c r="X46" t="str">
        <f t="shared" si="3"/>
        <v>California</v>
      </c>
      <c r="Y46" t="str">
        <f t="shared" si="4"/>
        <v>Humboldt County</v>
      </c>
      <c r="Z46">
        <f t="shared" si="5"/>
        <v>2188.2999999999997</v>
      </c>
    </row>
    <row r="47" spans="5:26" x14ac:dyDescent="0.3">
      <c r="H47" s="14"/>
      <c r="I47" s="16"/>
      <c r="K47" t="s">
        <v>19</v>
      </c>
      <c r="L47" t="s">
        <v>331</v>
      </c>
      <c r="M47" s="14">
        <v>59</v>
      </c>
      <c r="N47" s="14">
        <v>2661.5999999999995</v>
      </c>
      <c r="T47" t="str">
        <f t="shared" si="0"/>
        <v>California</v>
      </c>
      <c r="U47" t="str">
        <f t="shared" si="1"/>
        <v>Imperial County</v>
      </c>
      <c r="V47">
        <f t="shared" si="2"/>
        <v>59</v>
      </c>
      <c r="X47" t="str">
        <f t="shared" si="3"/>
        <v>California</v>
      </c>
      <c r="Y47" t="str">
        <f t="shared" si="4"/>
        <v>Imperial County</v>
      </c>
      <c r="Z47">
        <f t="shared" si="5"/>
        <v>2661.5999999999995</v>
      </c>
    </row>
    <row r="48" spans="5:26" x14ac:dyDescent="0.3">
      <c r="H48" s="28"/>
      <c r="I48" s="29"/>
      <c r="K48" t="s">
        <v>19</v>
      </c>
      <c r="L48" t="s">
        <v>86</v>
      </c>
      <c r="M48" s="14">
        <v>8</v>
      </c>
      <c r="N48" s="14">
        <v>887.5</v>
      </c>
      <c r="T48" t="str">
        <f t="shared" si="0"/>
        <v>California</v>
      </c>
      <c r="U48" t="str">
        <f t="shared" si="1"/>
        <v>Inyo County</v>
      </c>
      <c r="V48">
        <f t="shared" si="2"/>
        <v>8</v>
      </c>
      <c r="X48" t="str">
        <f t="shared" si="3"/>
        <v>California</v>
      </c>
      <c r="Y48" t="str">
        <f t="shared" si="4"/>
        <v>Inyo County</v>
      </c>
      <c r="Z48">
        <f t="shared" si="5"/>
        <v>887.5</v>
      </c>
    </row>
    <row r="49" spans="11:26" x14ac:dyDescent="0.3">
      <c r="K49" t="s">
        <v>19</v>
      </c>
      <c r="L49" t="s">
        <v>147</v>
      </c>
      <c r="M49" s="14">
        <v>222</v>
      </c>
      <c r="N49" s="14">
        <v>11354.199999999993</v>
      </c>
      <c r="T49" t="str">
        <f t="shared" si="0"/>
        <v>California</v>
      </c>
      <c r="U49" t="str">
        <f t="shared" si="1"/>
        <v>Kern County</v>
      </c>
      <c r="V49">
        <f t="shared" si="2"/>
        <v>222</v>
      </c>
      <c r="X49" t="str">
        <f t="shared" si="3"/>
        <v>California</v>
      </c>
      <c r="Y49" t="str">
        <f t="shared" si="4"/>
        <v>Kern County</v>
      </c>
      <c r="Z49">
        <f t="shared" si="5"/>
        <v>11354.199999999993</v>
      </c>
    </row>
    <row r="50" spans="11:26" x14ac:dyDescent="0.3">
      <c r="K50" t="s">
        <v>19</v>
      </c>
      <c r="L50" t="s">
        <v>334</v>
      </c>
      <c r="M50" s="14">
        <v>36</v>
      </c>
      <c r="N50" s="14">
        <v>1558.4</v>
      </c>
      <c r="T50" t="str">
        <f t="shared" si="0"/>
        <v>California</v>
      </c>
      <c r="U50" t="str">
        <f t="shared" si="1"/>
        <v>Kings County</v>
      </c>
      <c r="V50">
        <f t="shared" si="2"/>
        <v>36</v>
      </c>
      <c r="X50" t="str">
        <f t="shared" si="3"/>
        <v>California</v>
      </c>
      <c r="Y50" t="str">
        <f t="shared" si="4"/>
        <v>Kings County</v>
      </c>
      <c r="Z50">
        <f t="shared" si="5"/>
        <v>1558.4</v>
      </c>
    </row>
    <row r="51" spans="11:26" x14ac:dyDescent="0.3">
      <c r="K51" t="s">
        <v>19</v>
      </c>
      <c r="L51" t="s">
        <v>949</v>
      </c>
      <c r="M51" s="14">
        <v>30</v>
      </c>
      <c r="N51" s="14">
        <v>2223.9</v>
      </c>
      <c r="T51" t="str">
        <f t="shared" si="0"/>
        <v>California</v>
      </c>
      <c r="U51" t="str">
        <f t="shared" si="1"/>
        <v>Lake County</v>
      </c>
      <c r="V51">
        <f t="shared" si="2"/>
        <v>30</v>
      </c>
      <c r="X51" t="str">
        <f t="shared" si="3"/>
        <v>California</v>
      </c>
      <c r="Y51" t="str">
        <f t="shared" si="4"/>
        <v>Lake County</v>
      </c>
      <c r="Z51">
        <f t="shared" si="5"/>
        <v>2223.9</v>
      </c>
    </row>
    <row r="52" spans="11:26" x14ac:dyDescent="0.3">
      <c r="K52" t="s">
        <v>19</v>
      </c>
      <c r="L52" t="s">
        <v>1426</v>
      </c>
      <c r="M52" s="14">
        <v>1</v>
      </c>
      <c r="N52" s="14">
        <v>26.2</v>
      </c>
      <c r="T52" t="str">
        <f t="shared" si="0"/>
        <v>California</v>
      </c>
      <c r="U52" t="str">
        <f t="shared" si="1"/>
        <v>Lassen County</v>
      </c>
      <c r="V52">
        <f t="shared" si="2"/>
        <v>1</v>
      </c>
      <c r="X52" t="str">
        <f t="shared" si="3"/>
        <v>California</v>
      </c>
      <c r="Y52" t="str">
        <f t="shared" si="4"/>
        <v>Lassen County</v>
      </c>
      <c r="Z52">
        <f t="shared" si="5"/>
        <v>26.2</v>
      </c>
    </row>
    <row r="53" spans="11:26" x14ac:dyDescent="0.3">
      <c r="K53" t="s">
        <v>19</v>
      </c>
      <c r="L53" t="s">
        <v>33</v>
      </c>
      <c r="M53" s="14">
        <v>3991</v>
      </c>
      <c r="N53" s="14">
        <v>215551.19999999981</v>
      </c>
      <c r="T53" t="str">
        <f t="shared" si="0"/>
        <v>California</v>
      </c>
      <c r="U53" t="str">
        <f t="shared" si="1"/>
        <v>Los Angeles County</v>
      </c>
      <c r="V53">
        <f t="shared" si="2"/>
        <v>3991</v>
      </c>
      <c r="X53" t="str">
        <f t="shared" si="3"/>
        <v>California</v>
      </c>
      <c r="Y53" t="str">
        <f t="shared" si="4"/>
        <v>Los Angeles County</v>
      </c>
      <c r="Z53">
        <f t="shared" si="5"/>
        <v>215551.19999999981</v>
      </c>
    </row>
    <row r="54" spans="11:26" x14ac:dyDescent="0.3">
      <c r="K54" t="s">
        <v>19</v>
      </c>
      <c r="L54" t="s">
        <v>364</v>
      </c>
      <c r="M54" s="14">
        <v>45</v>
      </c>
      <c r="N54" s="14">
        <v>2687.3999999999996</v>
      </c>
      <c r="T54" t="str">
        <f t="shared" si="0"/>
        <v>California</v>
      </c>
      <c r="U54" t="str">
        <f t="shared" si="1"/>
        <v>Madera County</v>
      </c>
      <c r="V54">
        <f t="shared" si="2"/>
        <v>45</v>
      </c>
      <c r="X54" t="str">
        <f t="shared" si="3"/>
        <v>California</v>
      </c>
      <c r="Y54" t="str">
        <f t="shared" si="4"/>
        <v>Madera County</v>
      </c>
      <c r="Z54">
        <f t="shared" si="5"/>
        <v>2687.3999999999996</v>
      </c>
    </row>
    <row r="55" spans="11:26" x14ac:dyDescent="0.3">
      <c r="K55" t="s">
        <v>19</v>
      </c>
      <c r="L55" t="s">
        <v>545</v>
      </c>
      <c r="M55" s="14">
        <v>39</v>
      </c>
      <c r="N55" s="14">
        <v>1463.3000000000002</v>
      </c>
      <c r="T55" t="str">
        <f t="shared" si="0"/>
        <v>California</v>
      </c>
      <c r="U55" t="str">
        <f t="shared" si="1"/>
        <v>Marin County</v>
      </c>
      <c r="V55">
        <f t="shared" si="2"/>
        <v>39</v>
      </c>
      <c r="X55" t="str">
        <f t="shared" si="3"/>
        <v>California</v>
      </c>
      <c r="Y55" t="str">
        <f t="shared" si="4"/>
        <v>Marin County</v>
      </c>
      <c r="Z55">
        <f t="shared" si="5"/>
        <v>1463.3000000000002</v>
      </c>
    </row>
    <row r="56" spans="11:26" x14ac:dyDescent="0.3">
      <c r="K56" t="s">
        <v>19</v>
      </c>
      <c r="L56" t="s">
        <v>416</v>
      </c>
      <c r="M56" s="14">
        <v>6</v>
      </c>
      <c r="N56" s="14">
        <v>445.79999999999995</v>
      </c>
      <c r="T56" t="str">
        <f t="shared" si="0"/>
        <v>California</v>
      </c>
      <c r="U56" t="str">
        <f t="shared" si="1"/>
        <v>Mariposa County</v>
      </c>
      <c r="V56">
        <f t="shared" si="2"/>
        <v>6</v>
      </c>
      <c r="X56" t="str">
        <f t="shared" si="3"/>
        <v>California</v>
      </c>
      <c r="Y56" t="str">
        <f t="shared" si="4"/>
        <v>Mariposa County</v>
      </c>
      <c r="Z56">
        <f t="shared" si="5"/>
        <v>445.79999999999995</v>
      </c>
    </row>
    <row r="57" spans="11:26" x14ac:dyDescent="0.3">
      <c r="K57" t="s">
        <v>19</v>
      </c>
      <c r="L57" t="s">
        <v>258</v>
      </c>
      <c r="M57" s="14">
        <v>9</v>
      </c>
      <c r="N57" s="14">
        <v>273.59999999999997</v>
      </c>
      <c r="T57" t="str">
        <f t="shared" si="0"/>
        <v>California</v>
      </c>
      <c r="U57" t="str">
        <f t="shared" si="1"/>
        <v>Mendocino County</v>
      </c>
      <c r="V57">
        <f t="shared" si="2"/>
        <v>9</v>
      </c>
      <c r="X57" t="str">
        <f t="shared" si="3"/>
        <v>California</v>
      </c>
      <c r="Y57" t="str">
        <f t="shared" si="4"/>
        <v>Mendocino County</v>
      </c>
      <c r="Z57">
        <f t="shared" si="5"/>
        <v>273.59999999999997</v>
      </c>
    </row>
    <row r="58" spans="11:26" x14ac:dyDescent="0.3">
      <c r="K58" t="s">
        <v>19</v>
      </c>
      <c r="L58" t="s">
        <v>186</v>
      </c>
      <c r="M58" s="14">
        <v>60</v>
      </c>
      <c r="N58" s="14">
        <v>2690.4</v>
      </c>
      <c r="T58" t="str">
        <f t="shared" si="0"/>
        <v>California</v>
      </c>
      <c r="U58" t="str">
        <f t="shared" si="1"/>
        <v>Merced County</v>
      </c>
      <c r="V58">
        <f t="shared" si="2"/>
        <v>60</v>
      </c>
      <c r="X58" t="str">
        <f t="shared" si="3"/>
        <v>California</v>
      </c>
      <c r="Y58" t="str">
        <f t="shared" si="4"/>
        <v>Merced County</v>
      </c>
      <c r="Z58">
        <f t="shared" si="5"/>
        <v>2690.4</v>
      </c>
    </row>
    <row r="59" spans="11:26" x14ac:dyDescent="0.3">
      <c r="K59" t="s">
        <v>19</v>
      </c>
      <c r="L59" t="s">
        <v>392</v>
      </c>
      <c r="M59" s="14">
        <v>2</v>
      </c>
      <c r="N59" s="14">
        <v>28.4</v>
      </c>
      <c r="T59" t="str">
        <f t="shared" si="0"/>
        <v>California</v>
      </c>
      <c r="U59" t="str">
        <f t="shared" si="1"/>
        <v>Modoc County</v>
      </c>
      <c r="V59">
        <f t="shared" si="2"/>
        <v>2</v>
      </c>
      <c r="X59" t="str">
        <f t="shared" si="3"/>
        <v>California</v>
      </c>
      <c r="Y59" t="str">
        <f t="shared" si="4"/>
        <v>Modoc County</v>
      </c>
      <c r="Z59">
        <f t="shared" si="5"/>
        <v>28.4</v>
      </c>
    </row>
    <row r="60" spans="11:26" x14ac:dyDescent="0.3">
      <c r="K60" t="s">
        <v>19</v>
      </c>
      <c r="L60" t="s">
        <v>670</v>
      </c>
      <c r="M60" s="14">
        <v>4</v>
      </c>
      <c r="N60" s="14">
        <v>204.8</v>
      </c>
      <c r="T60" t="str">
        <f t="shared" si="0"/>
        <v>California</v>
      </c>
      <c r="U60" t="str">
        <f t="shared" si="1"/>
        <v>Mono County</v>
      </c>
      <c r="V60">
        <f t="shared" si="2"/>
        <v>4</v>
      </c>
      <c r="X60" t="str">
        <f t="shared" si="3"/>
        <v>California</v>
      </c>
      <c r="Y60" t="str">
        <f t="shared" si="4"/>
        <v>Mono County</v>
      </c>
      <c r="Z60">
        <f t="shared" si="5"/>
        <v>204.8</v>
      </c>
    </row>
    <row r="61" spans="11:26" x14ac:dyDescent="0.3">
      <c r="K61" t="s">
        <v>19</v>
      </c>
      <c r="L61" t="s">
        <v>802</v>
      </c>
      <c r="M61" s="14">
        <v>31</v>
      </c>
      <c r="N61" s="14">
        <v>1607.8999999999999</v>
      </c>
      <c r="T61" t="str">
        <f t="shared" si="0"/>
        <v>California</v>
      </c>
      <c r="U61" t="str">
        <f t="shared" si="1"/>
        <v>Monterey County</v>
      </c>
      <c r="V61">
        <f t="shared" si="2"/>
        <v>31</v>
      </c>
      <c r="X61" t="str">
        <f t="shared" si="3"/>
        <v>California</v>
      </c>
      <c r="Y61" t="str">
        <f t="shared" si="4"/>
        <v>Monterey County</v>
      </c>
      <c r="Z61">
        <f t="shared" si="5"/>
        <v>1607.8999999999999</v>
      </c>
    </row>
    <row r="62" spans="11:26" x14ac:dyDescent="0.3">
      <c r="K62" t="s">
        <v>19</v>
      </c>
      <c r="L62" t="s">
        <v>98</v>
      </c>
      <c r="M62" s="14">
        <v>88</v>
      </c>
      <c r="N62" s="14">
        <v>6444.9</v>
      </c>
      <c r="T62" t="str">
        <f t="shared" si="0"/>
        <v>California</v>
      </c>
      <c r="U62" t="str">
        <f t="shared" si="1"/>
        <v>Napa County</v>
      </c>
      <c r="V62">
        <f t="shared" si="2"/>
        <v>88</v>
      </c>
      <c r="X62" t="str">
        <f t="shared" si="3"/>
        <v>California</v>
      </c>
      <c r="Y62" t="str">
        <f t="shared" si="4"/>
        <v>Napa County</v>
      </c>
      <c r="Z62">
        <f t="shared" si="5"/>
        <v>6444.9</v>
      </c>
    </row>
    <row r="63" spans="11:26" x14ac:dyDescent="0.3">
      <c r="K63" t="s">
        <v>19</v>
      </c>
      <c r="L63" t="s">
        <v>49</v>
      </c>
      <c r="M63" s="14">
        <v>25</v>
      </c>
      <c r="N63" s="14">
        <v>1809.3</v>
      </c>
      <c r="T63" t="str">
        <f t="shared" si="0"/>
        <v>California</v>
      </c>
      <c r="U63" t="str">
        <f t="shared" si="1"/>
        <v>Nevada County</v>
      </c>
      <c r="V63">
        <f t="shared" si="2"/>
        <v>25</v>
      </c>
      <c r="X63" t="str">
        <f t="shared" si="3"/>
        <v>California</v>
      </c>
      <c r="Y63" t="str">
        <f t="shared" si="4"/>
        <v>Nevada County</v>
      </c>
      <c r="Z63">
        <f t="shared" si="5"/>
        <v>1809.3</v>
      </c>
    </row>
    <row r="64" spans="11:26" x14ac:dyDescent="0.3">
      <c r="K64" t="s">
        <v>19</v>
      </c>
      <c r="L64" t="s">
        <v>188</v>
      </c>
      <c r="M64" s="14">
        <v>178</v>
      </c>
      <c r="N64" s="14">
        <v>9680.399999999996</v>
      </c>
      <c r="T64" t="str">
        <f t="shared" si="0"/>
        <v>California</v>
      </c>
      <c r="U64" t="str">
        <f t="shared" si="1"/>
        <v>Orange County</v>
      </c>
      <c r="V64">
        <f t="shared" si="2"/>
        <v>178</v>
      </c>
      <c r="X64" t="str">
        <f t="shared" si="3"/>
        <v>California</v>
      </c>
      <c r="Y64" t="str">
        <f t="shared" si="4"/>
        <v>Orange County</v>
      </c>
      <c r="Z64">
        <f t="shared" si="5"/>
        <v>9680.399999999996</v>
      </c>
    </row>
    <row r="65" spans="11:26" x14ac:dyDescent="0.3">
      <c r="K65" t="s">
        <v>19</v>
      </c>
      <c r="L65" t="s">
        <v>52</v>
      </c>
      <c r="M65" s="14">
        <v>141</v>
      </c>
      <c r="N65" s="14">
        <v>9414.7999999999993</v>
      </c>
      <c r="T65" t="str">
        <f t="shared" si="0"/>
        <v>California</v>
      </c>
      <c r="U65" t="str">
        <f t="shared" si="1"/>
        <v>Placer County</v>
      </c>
      <c r="V65">
        <f t="shared" si="2"/>
        <v>141</v>
      </c>
      <c r="X65" t="str">
        <f t="shared" si="3"/>
        <v>California</v>
      </c>
      <c r="Y65" t="str">
        <f t="shared" si="4"/>
        <v>Placer County</v>
      </c>
      <c r="Z65">
        <f t="shared" si="5"/>
        <v>9414.7999999999993</v>
      </c>
    </row>
    <row r="66" spans="11:26" x14ac:dyDescent="0.3">
      <c r="K66" t="s">
        <v>19</v>
      </c>
      <c r="L66" t="s">
        <v>338</v>
      </c>
      <c r="M66" s="14">
        <v>6</v>
      </c>
      <c r="N66" s="14">
        <v>206.1</v>
      </c>
      <c r="T66" t="str">
        <f t="shared" si="0"/>
        <v>California</v>
      </c>
      <c r="U66" t="str">
        <f t="shared" si="1"/>
        <v>Plumas County</v>
      </c>
      <c r="V66">
        <f t="shared" si="2"/>
        <v>6</v>
      </c>
      <c r="X66" t="str">
        <f t="shared" si="3"/>
        <v>California</v>
      </c>
      <c r="Y66" t="str">
        <f t="shared" si="4"/>
        <v>Plumas County</v>
      </c>
      <c r="Z66">
        <f t="shared" si="5"/>
        <v>206.1</v>
      </c>
    </row>
    <row r="67" spans="11:26" x14ac:dyDescent="0.3">
      <c r="K67" t="s">
        <v>19</v>
      </c>
      <c r="L67" t="s">
        <v>158</v>
      </c>
      <c r="M67" s="14">
        <v>178</v>
      </c>
      <c r="N67" s="14">
        <v>7691.3</v>
      </c>
      <c r="T67" t="str">
        <f t="shared" si="0"/>
        <v>California</v>
      </c>
      <c r="U67" t="str">
        <f t="shared" si="1"/>
        <v>Riverside County</v>
      </c>
      <c r="V67">
        <f t="shared" si="2"/>
        <v>178</v>
      </c>
      <c r="X67" t="str">
        <f t="shared" si="3"/>
        <v>California</v>
      </c>
      <c r="Y67" t="str">
        <f t="shared" si="4"/>
        <v>Riverside County</v>
      </c>
      <c r="Z67">
        <f t="shared" si="5"/>
        <v>7691.3</v>
      </c>
    </row>
    <row r="68" spans="11:26" x14ac:dyDescent="0.3">
      <c r="K68" t="s">
        <v>19</v>
      </c>
      <c r="L68" t="s">
        <v>55</v>
      </c>
      <c r="M68" s="14">
        <v>699</v>
      </c>
      <c r="N68" s="14">
        <v>37784.900000000016</v>
      </c>
      <c r="T68" t="str">
        <f t="shared" si="0"/>
        <v>California</v>
      </c>
      <c r="U68" t="str">
        <f t="shared" si="1"/>
        <v>Sacramento County</v>
      </c>
      <c r="V68">
        <f t="shared" si="2"/>
        <v>699</v>
      </c>
      <c r="X68" t="str">
        <f t="shared" si="3"/>
        <v>California</v>
      </c>
      <c r="Y68" t="str">
        <f t="shared" si="4"/>
        <v>Sacramento County</v>
      </c>
      <c r="Z68">
        <f t="shared" si="5"/>
        <v>37784.900000000016</v>
      </c>
    </row>
    <row r="69" spans="11:26" x14ac:dyDescent="0.3">
      <c r="K69" t="s">
        <v>19</v>
      </c>
      <c r="L69" t="s">
        <v>342</v>
      </c>
      <c r="M69" s="14">
        <v>23</v>
      </c>
      <c r="N69" s="14">
        <v>1129.7</v>
      </c>
      <c r="T69" t="str">
        <f t="shared" si="0"/>
        <v>California</v>
      </c>
      <c r="U69" t="str">
        <f t="shared" si="1"/>
        <v>San Benito County</v>
      </c>
      <c r="V69">
        <f t="shared" si="2"/>
        <v>23</v>
      </c>
      <c r="X69" t="str">
        <f t="shared" si="3"/>
        <v>California</v>
      </c>
      <c r="Y69" t="str">
        <f t="shared" si="4"/>
        <v>San Benito County</v>
      </c>
      <c r="Z69">
        <f t="shared" si="5"/>
        <v>1129.7</v>
      </c>
    </row>
    <row r="70" spans="11:26" x14ac:dyDescent="0.3">
      <c r="K70" t="s">
        <v>19</v>
      </c>
      <c r="L70" t="s">
        <v>59</v>
      </c>
      <c r="M70" s="14">
        <v>356</v>
      </c>
      <c r="N70" s="14">
        <v>20988.9</v>
      </c>
      <c r="T70" t="str">
        <f t="shared" si="0"/>
        <v>California</v>
      </c>
      <c r="U70" t="str">
        <f t="shared" si="1"/>
        <v>San Bernardino County</v>
      </c>
      <c r="V70">
        <f t="shared" si="2"/>
        <v>356</v>
      </c>
      <c r="X70" t="str">
        <f t="shared" si="3"/>
        <v>California</v>
      </c>
      <c r="Y70" t="str">
        <f t="shared" si="4"/>
        <v>San Bernardino County</v>
      </c>
      <c r="Z70">
        <f t="shared" si="5"/>
        <v>20988.9</v>
      </c>
    </row>
    <row r="71" spans="11:26" x14ac:dyDescent="0.3">
      <c r="K71" t="s">
        <v>19</v>
      </c>
      <c r="L71" t="s">
        <v>62</v>
      </c>
      <c r="M71" s="14">
        <v>1768</v>
      </c>
      <c r="N71" s="14">
        <v>98367.099999999977</v>
      </c>
      <c r="T71" t="str">
        <f t="shared" si="0"/>
        <v>California</v>
      </c>
      <c r="U71" t="str">
        <f t="shared" si="1"/>
        <v>San Diego County</v>
      </c>
      <c r="V71">
        <f t="shared" si="2"/>
        <v>1768</v>
      </c>
      <c r="X71" t="str">
        <f t="shared" si="3"/>
        <v>California</v>
      </c>
      <c r="Y71" t="str">
        <f t="shared" si="4"/>
        <v>San Diego County</v>
      </c>
      <c r="Z71">
        <f t="shared" si="5"/>
        <v>98367.099999999977</v>
      </c>
    </row>
    <row r="72" spans="11:26" x14ac:dyDescent="0.3">
      <c r="K72" t="s">
        <v>19</v>
      </c>
      <c r="L72" t="s">
        <v>103</v>
      </c>
      <c r="M72" s="14">
        <v>307</v>
      </c>
      <c r="N72" s="14">
        <v>21911.9</v>
      </c>
      <c r="T72" t="str">
        <f t="shared" si="0"/>
        <v>California</v>
      </c>
      <c r="U72" t="str">
        <f t="shared" si="1"/>
        <v>San Francisco</v>
      </c>
      <c r="V72">
        <f t="shared" si="2"/>
        <v>307</v>
      </c>
      <c r="X72" t="str">
        <f t="shared" si="3"/>
        <v>California</v>
      </c>
      <c r="Y72" t="str">
        <f t="shared" si="4"/>
        <v>San Francisco</v>
      </c>
      <c r="Z72">
        <f t="shared" si="5"/>
        <v>21911.9</v>
      </c>
    </row>
    <row r="73" spans="11:26" x14ac:dyDescent="0.3">
      <c r="K73" t="s">
        <v>19</v>
      </c>
      <c r="L73" t="s">
        <v>201</v>
      </c>
      <c r="M73" s="14">
        <v>117</v>
      </c>
      <c r="N73" s="14">
        <v>5441.2</v>
      </c>
      <c r="T73" t="str">
        <f t="shared" si="0"/>
        <v>California</v>
      </c>
      <c r="U73" t="str">
        <f t="shared" si="1"/>
        <v>San Joaquin County</v>
      </c>
      <c r="V73">
        <f t="shared" si="2"/>
        <v>117</v>
      </c>
      <c r="X73" t="str">
        <f t="shared" si="3"/>
        <v>California</v>
      </c>
      <c r="Y73" t="str">
        <f t="shared" si="4"/>
        <v>San Joaquin County</v>
      </c>
      <c r="Z73">
        <f t="shared" si="5"/>
        <v>5441.2</v>
      </c>
    </row>
    <row r="74" spans="11:26" x14ac:dyDescent="0.3">
      <c r="K74" t="s">
        <v>19</v>
      </c>
      <c r="L74" t="s">
        <v>429</v>
      </c>
      <c r="M74" s="14">
        <v>13</v>
      </c>
      <c r="N74" s="14">
        <v>392.8</v>
      </c>
      <c r="T74" t="str">
        <f t="shared" si="0"/>
        <v>California</v>
      </c>
      <c r="U74" t="str">
        <f t="shared" si="1"/>
        <v>San Luis Obispo County</v>
      </c>
      <c r="V74">
        <f t="shared" si="2"/>
        <v>13</v>
      </c>
      <c r="X74" t="str">
        <f t="shared" si="3"/>
        <v>California</v>
      </c>
      <c r="Y74" t="str">
        <f t="shared" si="4"/>
        <v>San Luis Obispo County</v>
      </c>
      <c r="Z74">
        <f t="shared" si="5"/>
        <v>392.8</v>
      </c>
    </row>
    <row r="75" spans="11:26" x14ac:dyDescent="0.3">
      <c r="K75" t="s">
        <v>19</v>
      </c>
      <c r="L75" t="s">
        <v>72</v>
      </c>
      <c r="M75" s="14">
        <v>364</v>
      </c>
      <c r="N75" s="14">
        <v>16172.000000000005</v>
      </c>
      <c r="T75" t="str">
        <f t="shared" si="0"/>
        <v>California</v>
      </c>
      <c r="U75" t="str">
        <f t="shared" si="1"/>
        <v>San Mateo County</v>
      </c>
      <c r="V75">
        <f t="shared" si="2"/>
        <v>364</v>
      </c>
      <c r="X75" t="str">
        <f t="shared" si="3"/>
        <v>California</v>
      </c>
      <c r="Y75" t="str">
        <f t="shared" si="4"/>
        <v>San Mateo County</v>
      </c>
      <c r="Z75">
        <f t="shared" si="5"/>
        <v>16172.000000000005</v>
      </c>
    </row>
    <row r="76" spans="11:26" x14ac:dyDescent="0.3">
      <c r="K76" t="s">
        <v>19</v>
      </c>
      <c r="L76" t="s">
        <v>74</v>
      </c>
      <c r="M76" s="14">
        <v>95</v>
      </c>
      <c r="N76" s="14">
        <v>4334.9999999999991</v>
      </c>
      <c r="T76" t="str">
        <f t="shared" si="0"/>
        <v>California</v>
      </c>
      <c r="U76" t="str">
        <f t="shared" si="1"/>
        <v>Santa Barbara County</v>
      </c>
      <c r="V76">
        <f t="shared" si="2"/>
        <v>95</v>
      </c>
      <c r="X76" t="str">
        <f t="shared" si="3"/>
        <v>California</v>
      </c>
      <c r="Y76" t="str">
        <f t="shared" si="4"/>
        <v>Santa Barbara County</v>
      </c>
      <c r="Z76">
        <f t="shared" si="5"/>
        <v>4334.9999999999991</v>
      </c>
    </row>
    <row r="77" spans="11:26" x14ac:dyDescent="0.3">
      <c r="K77" t="s">
        <v>19</v>
      </c>
      <c r="L77" t="s">
        <v>77</v>
      </c>
      <c r="M77" s="14">
        <v>737</v>
      </c>
      <c r="N77" s="14">
        <v>37449.000000000007</v>
      </c>
      <c r="T77" t="str">
        <f t="shared" si="0"/>
        <v>California</v>
      </c>
      <c r="U77" t="str">
        <f t="shared" si="1"/>
        <v>Santa Clara County</v>
      </c>
      <c r="V77">
        <f t="shared" si="2"/>
        <v>737</v>
      </c>
      <c r="X77" t="str">
        <f t="shared" si="3"/>
        <v>California</v>
      </c>
      <c r="Y77" t="str">
        <f t="shared" si="4"/>
        <v>Santa Clara County</v>
      </c>
      <c r="Z77">
        <f t="shared" si="5"/>
        <v>37449.000000000007</v>
      </c>
    </row>
    <row r="78" spans="11:26" x14ac:dyDescent="0.3">
      <c r="K78" t="s">
        <v>19</v>
      </c>
      <c r="L78" t="s">
        <v>309</v>
      </c>
      <c r="M78" s="14">
        <v>39</v>
      </c>
      <c r="N78" s="14">
        <v>2447.5</v>
      </c>
      <c r="T78" t="str">
        <f t="shared" si="0"/>
        <v>California</v>
      </c>
      <c r="U78" t="str">
        <f t="shared" si="1"/>
        <v>Santa Cruz County</v>
      </c>
      <c r="V78">
        <f t="shared" si="2"/>
        <v>39</v>
      </c>
      <c r="X78" t="str">
        <f t="shared" si="3"/>
        <v>California</v>
      </c>
      <c r="Y78" t="str">
        <f t="shared" si="4"/>
        <v>Santa Cruz County</v>
      </c>
      <c r="Z78">
        <f t="shared" si="5"/>
        <v>2447.5</v>
      </c>
    </row>
    <row r="79" spans="11:26" x14ac:dyDescent="0.3">
      <c r="K79" t="s">
        <v>19</v>
      </c>
      <c r="L79" t="s">
        <v>1116</v>
      </c>
      <c r="M79" s="14">
        <v>56</v>
      </c>
      <c r="N79" s="14">
        <v>3391.1</v>
      </c>
      <c r="T79" t="str">
        <f t="shared" si="0"/>
        <v>California</v>
      </c>
      <c r="U79" t="str">
        <f t="shared" si="1"/>
        <v>Shasta County</v>
      </c>
      <c r="V79">
        <f t="shared" si="2"/>
        <v>56</v>
      </c>
      <c r="X79" t="str">
        <f t="shared" si="3"/>
        <v>California</v>
      </c>
      <c r="Y79" t="str">
        <f t="shared" si="4"/>
        <v>Shasta County</v>
      </c>
      <c r="Z79">
        <f t="shared" si="5"/>
        <v>3391.1</v>
      </c>
    </row>
    <row r="80" spans="11:26" x14ac:dyDescent="0.3">
      <c r="K80" t="s">
        <v>19</v>
      </c>
      <c r="L80" t="s">
        <v>700</v>
      </c>
      <c r="M80" s="14">
        <v>2</v>
      </c>
      <c r="N80" s="14">
        <v>30.8</v>
      </c>
      <c r="T80" t="str">
        <f t="shared" si="0"/>
        <v>California</v>
      </c>
      <c r="U80" t="str">
        <f t="shared" si="1"/>
        <v>Sierra County</v>
      </c>
      <c r="V80">
        <f t="shared" si="2"/>
        <v>2</v>
      </c>
      <c r="X80" t="str">
        <f t="shared" si="3"/>
        <v>California</v>
      </c>
      <c r="Y80" t="str">
        <f t="shared" si="4"/>
        <v>Sierra County</v>
      </c>
      <c r="Z80">
        <f t="shared" si="5"/>
        <v>30.8</v>
      </c>
    </row>
    <row r="81" spans="11:26" x14ac:dyDescent="0.3">
      <c r="K81" t="s">
        <v>19</v>
      </c>
      <c r="L81" t="s">
        <v>268</v>
      </c>
      <c r="M81" s="14">
        <v>8</v>
      </c>
      <c r="N81" s="14">
        <v>332.3</v>
      </c>
      <c r="T81" t="str">
        <f t="shared" si="0"/>
        <v>California</v>
      </c>
      <c r="U81" t="str">
        <f t="shared" si="1"/>
        <v>Siskiyou County</v>
      </c>
      <c r="V81">
        <f t="shared" si="2"/>
        <v>8</v>
      </c>
      <c r="X81" t="str">
        <f t="shared" si="3"/>
        <v>California</v>
      </c>
      <c r="Y81" t="str">
        <f t="shared" si="4"/>
        <v>Siskiyou County</v>
      </c>
      <c r="Z81">
        <f t="shared" si="5"/>
        <v>332.3</v>
      </c>
    </row>
    <row r="82" spans="11:26" x14ac:dyDescent="0.3">
      <c r="K82" t="s">
        <v>19</v>
      </c>
      <c r="L82" t="s">
        <v>377</v>
      </c>
      <c r="M82" s="14">
        <v>52</v>
      </c>
      <c r="N82" s="14">
        <v>3175.9999999999995</v>
      </c>
      <c r="T82" t="str">
        <f t="shared" si="0"/>
        <v>California</v>
      </c>
      <c r="U82" t="str">
        <f t="shared" si="1"/>
        <v>Solano County</v>
      </c>
      <c r="V82">
        <f t="shared" si="2"/>
        <v>52</v>
      </c>
      <c r="X82" t="str">
        <f t="shared" si="3"/>
        <v>California</v>
      </c>
      <c r="Y82" t="str">
        <f t="shared" si="4"/>
        <v>Solano County</v>
      </c>
      <c r="Z82">
        <f t="shared" si="5"/>
        <v>3175.9999999999995</v>
      </c>
    </row>
    <row r="83" spans="11:26" x14ac:dyDescent="0.3">
      <c r="K83" t="s">
        <v>19</v>
      </c>
      <c r="L83" t="s">
        <v>108</v>
      </c>
      <c r="M83" s="14">
        <v>295</v>
      </c>
      <c r="N83" s="14">
        <v>20939.600000000002</v>
      </c>
      <c r="T83" t="str">
        <f t="shared" si="0"/>
        <v>California</v>
      </c>
      <c r="U83" t="str">
        <f t="shared" si="1"/>
        <v>Sonoma County</v>
      </c>
      <c r="V83">
        <f t="shared" si="2"/>
        <v>295</v>
      </c>
      <c r="X83" t="str">
        <f t="shared" si="3"/>
        <v>California</v>
      </c>
      <c r="Y83" t="str">
        <f t="shared" si="4"/>
        <v>Sonoma County</v>
      </c>
      <c r="Z83">
        <f t="shared" si="5"/>
        <v>20939.600000000002</v>
      </c>
    </row>
    <row r="84" spans="11:26" x14ac:dyDescent="0.3">
      <c r="K84" t="s">
        <v>19</v>
      </c>
      <c r="L84" t="s">
        <v>110</v>
      </c>
      <c r="M84" s="14">
        <v>195</v>
      </c>
      <c r="N84" s="14">
        <v>10185.899999999996</v>
      </c>
      <c r="T84" t="str">
        <f t="shared" si="0"/>
        <v>California</v>
      </c>
      <c r="U84" t="str">
        <f t="shared" si="1"/>
        <v>Stanislaus County</v>
      </c>
      <c r="V84">
        <f t="shared" si="2"/>
        <v>195</v>
      </c>
      <c r="X84" t="str">
        <f t="shared" si="3"/>
        <v>California</v>
      </c>
      <c r="Y84" t="str">
        <f t="shared" si="4"/>
        <v>Stanislaus County</v>
      </c>
      <c r="Z84">
        <f t="shared" si="5"/>
        <v>10185.899999999996</v>
      </c>
    </row>
    <row r="85" spans="11:26" x14ac:dyDescent="0.3">
      <c r="K85" t="s">
        <v>19</v>
      </c>
      <c r="L85" t="s">
        <v>292</v>
      </c>
      <c r="M85" s="14">
        <v>20</v>
      </c>
      <c r="N85" s="14">
        <v>958.7</v>
      </c>
      <c r="T85" t="str">
        <f t="shared" si="0"/>
        <v>California</v>
      </c>
      <c r="U85" t="str">
        <f t="shared" si="1"/>
        <v>Sutter County</v>
      </c>
      <c r="V85">
        <f t="shared" si="2"/>
        <v>20</v>
      </c>
      <c r="X85" t="str">
        <f t="shared" si="3"/>
        <v>California</v>
      </c>
      <c r="Y85" t="str">
        <f t="shared" si="4"/>
        <v>Sutter County</v>
      </c>
      <c r="Z85">
        <f t="shared" si="5"/>
        <v>958.7</v>
      </c>
    </row>
    <row r="86" spans="11:26" x14ac:dyDescent="0.3">
      <c r="K86" t="s">
        <v>19</v>
      </c>
      <c r="L86" t="s">
        <v>79</v>
      </c>
      <c r="M86" s="14">
        <v>6</v>
      </c>
      <c r="N86" s="14">
        <v>323</v>
      </c>
      <c r="T86" t="str">
        <f t="shared" si="0"/>
        <v>California</v>
      </c>
      <c r="U86" t="str">
        <f t="shared" si="1"/>
        <v>Tehama County</v>
      </c>
      <c r="V86">
        <f t="shared" si="2"/>
        <v>6</v>
      </c>
      <c r="X86" t="str">
        <f t="shared" si="3"/>
        <v>California</v>
      </c>
      <c r="Y86" t="str">
        <f t="shared" si="4"/>
        <v>Tehama County</v>
      </c>
      <c r="Z86">
        <f t="shared" si="5"/>
        <v>323</v>
      </c>
    </row>
    <row r="87" spans="11:26" x14ac:dyDescent="0.3">
      <c r="K87" t="s">
        <v>19</v>
      </c>
      <c r="L87" t="s">
        <v>608</v>
      </c>
      <c r="M87" s="14">
        <v>5</v>
      </c>
      <c r="N87" s="14">
        <v>167.70000000000002</v>
      </c>
      <c r="T87" t="str">
        <f t="shared" si="0"/>
        <v>California</v>
      </c>
      <c r="U87" t="str">
        <f t="shared" si="1"/>
        <v>Trinity County</v>
      </c>
      <c r="V87">
        <f t="shared" si="2"/>
        <v>5</v>
      </c>
      <c r="X87" t="str">
        <f t="shared" si="3"/>
        <v>California</v>
      </c>
      <c r="Y87" t="str">
        <f t="shared" si="4"/>
        <v>Trinity County</v>
      </c>
      <c r="Z87">
        <f t="shared" si="5"/>
        <v>167.70000000000002</v>
      </c>
    </row>
    <row r="88" spans="11:26" x14ac:dyDescent="0.3">
      <c r="K88" t="s">
        <v>19</v>
      </c>
      <c r="L88" t="s">
        <v>113</v>
      </c>
      <c r="M88" s="14">
        <v>94</v>
      </c>
      <c r="N88" s="14">
        <v>3978.5</v>
      </c>
      <c r="T88" t="str">
        <f t="shared" si="0"/>
        <v>California</v>
      </c>
      <c r="U88" t="str">
        <f t="shared" si="1"/>
        <v>Tulare County</v>
      </c>
      <c r="V88">
        <f t="shared" si="2"/>
        <v>94</v>
      </c>
      <c r="X88" t="str">
        <f t="shared" si="3"/>
        <v>California</v>
      </c>
      <c r="Y88" t="str">
        <f t="shared" si="4"/>
        <v>Tulare County</v>
      </c>
      <c r="Z88">
        <f t="shared" si="5"/>
        <v>3978.5</v>
      </c>
    </row>
    <row r="89" spans="11:26" x14ac:dyDescent="0.3">
      <c r="K89" t="s">
        <v>19</v>
      </c>
      <c r="L89" t="s">
        <v>997</v>
      </c>
      <c r="M89" s="14">
        <v>28</v>
      </c>
      <c r="N89" s="14">
        <v>1405</v>
      </c>
      <c r="T89" t="str">
        <f t="shared" si="0"/>
        <v>California</v>
      </c>
      <c r="U89" t="str">
        <f t="shared" si="1"/>
        <v>Tuolumne County</v>
      </c>
      <c r="V89">
        <f t="shared" si="2"/>
        <v>28</v>
      </c>
      <c r="X89" t="str">
        <f t="shared" si="3"/>
        <v>California</v>
      </c>
      <c r="Y89" t="str">
        <f t="shared" si="4"/>
        <v>Tuolumne County</v>
      </c>
      <c r="Z89">
        <f t="shared" si="5"/>
        <v>1405</v>
      </c>
    </row>
    <row r="90" spans="11:26" x14ac:dyDescent="0.3">
      <c r="K90" t="s">
        <v>19</v>
      </c>
      <c r="L90" t="s">
        <v>82</v>
      </c>
      <c r="M90" s="14">
        <v>179</v>
      </c>
      <c r="N90" s="14">
        <v>9869.0999999999985</v>
      </c>
      <c r="T90" t="str">
        <f t="shared" si="0"/>
        <v>California</v>
      </c>
      <c r="U90" t="str">
        <f t="shared" si="1"/>
        <v>Ventura County</v>
      </c>
      <c r="V90">
        <f t="shared" si="2"/>
        <v>179</v>
      </c>
      <c r="X90" t="str">
        <f t="shared" si="3"/>
        <v>California</v>
      </c>
      <c r="Y90" t="str">
        <f t="shared" si="4"/>
        <v>Ventura County</v>
      </c>
      <c r="Z90">
        <f t="shared" si="5"/>
        <v>9869.0999999999985</v>
      </c>
    </row>
    <row r="91" spans="11:26" x14ac:dyDescent="0.3">
      <c r="K91" t="s">
        <v>19</v>
      </c>
      <c r="L91" t="s">
        <v>243</v>
      </c>
      <c r="M91" s="14">
        <v>15</v>
      </c>
      <c r="N91" s="14">
        <v>615.29999999999995</v>
      </c>
      <c r="T91" t="str">
        <f t="shared" si="0"/>
        <v>California</v>
      </c>
      <c r="U91" t="str">
        <f t="shared" si="1"/>
        <v>Yolo County</v>
      </c>
      <c r="V91">
        <f t="shared" si="2"/>
        <v>15</v>
      </c>
      <c r="X91" t="str">
        <f t="shared" si="3"/>
        <v>California</v>
      </c>
      <c r="Y91" t="str">
        <f t="shared" si="4"/>
        <v>Yolo County</v>
      </c>
      <c r="Z91">
        <f t="shared" si="5"/>
        <v>615.29999999999995</v>
      </c>
    </row>
    <row r="92" spans="11:26" x14ac:dyDescent="0.3">
      <c r="K92" t="s">
        <v>19</v>
      </c>
      <c r="L92" t="s">
        <v>1911</v>
      </c>
      <c r="M92" s="14">
        <v>3</v>
      </c>
      <c r="N92" s="14">
        <v>285</v>
      </c>
      <c r="T92" t="str">
        <f t="shared" si="0"/>
        <v>California</v>
      </c>
      <c r="U92" t="str">
        <f t="shared" si="1"/>
        <v>Yuba County</v>
      </c>
      <c r="V92">
        <f t="shared" si="2"/>
        <v>3</v>
      </c>
      <c r="X92" t="str">
        <f t="shared" si="3"/>
        <v>California</v>
      </c>
      <c r="Y92" t="str">
        <f t="shared" si="4"/>
        <v>Yuba County</v>
      </c>
      <c r="Z92">
        <f t="shared" si="5"/>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3A96-2177-4EE5-BB40-935B2CAFF1FC}">
  <dimension ref="A2:M10"/>
  <sheetViews>
    <sheetView showGridLines="0" workbookViewId="0">
      <selection activeCell="AC13" sqref="AC13"/>
    </sheetView>
  </sheetViews>
  <sheetFormatPr defaultRowHeight="14.4" x14ac:dyDescent="0.3"/>
  <cols>
    <col min="1" max="1" width="19.4414062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5546875" bestFit="1" customWidth="1"/>
  </cols>
  <sheetData>
    <row r="2" spans="1:13" x14ac:dyDescent="0.3">
      <c r="H2" t="s">
        <v>2569</v>
      </c>
    </row>
    <row r="3" spans="1:13" x14ac:dyDescent="0.3">
      <c r="A3" s="12" t="s">
        <v>2564</v>
      </c>
      <c r="B3" s="12" t="s">
        <v>2555</v>
      </c>
    </row>
    <row r="4" spans="1:13" ht="15" thickBot="1" x14ac:dyDescent="0.35">
      <c r="A4" s="12" t="s">
        <v>2551</v>
      </c>
      <c r="B4" t="s">
        <v>2565</v>
      </c>
      <c r="C4" t="s">
        <v>2566</v>
      </c>
      <c r="D4" t="s">
        <v>2567</v>
      </c>
      <c r="E4" t="s">
        <v>2568</v>
      </c>
      <c r="F4" t="s">
        <v>2552</v>
      </c>
      <c r="H4" s="20"/>
      <c r="I4" s="26" t="str">
        <f>B4</f>
        <v>Female</v>
      </c>
      <c r="J4" s="26" t="str">
        <f t="shared" ref="J4:M5" si="0">C4</f>
        <v>Male</v>
      </c>
      <c r="K4" s="26" t="str">
        <f t="shared" si="0"/>
        <v>Other</v>
      </c>
      <c r="L4" s="27" t="str">
        <f t="shared" si="0"/>
        <v>Unknown</v>
      </c>
    </row>
    <row r="5" spans="1:13" ht="15.6" thickTop="1" thickBot="1" x14ac:dyDescent="0.35">
      <c r="A5" s="13" t="s">
        <v>18</v>
      </c>
      <c r="B5" s="17">
        <v>0.19</v>
      </c>
      <c r="C5" s="17">
        <v>0.13958333333333334</v>
      </c>
      <c r="D5" s="17">
        <v>1.1666666666666667E-2</v>
      </c>
      <c r="E5" s="17">
        <v>2.0416666666666666E-2</v>
      </c>
      <c r="F5" s="17">
        <v>0.36166666666666669</v>
      </c>
      <c r="H5" s="24" t="str">
        <f>A5</f>
        <v>App</v>
      </c>
      <c r="I5" s="19">
        <f t="shared" ref="I5:M10" si="1">B5</f>
        <v>0.19</v>
      </c>
      <c r="J5" s="19">
        <f t="shared" si="0"/>
        <v>0.13958333333333334</v>
      </c>
      <c r="K5" s="19">
        <f t="shared" si="0"/>
        <v>1.1666666666666667E-2</v>
      </c>
      <c r="L5" s="21">
        <f t="shared" si="0"/>
        <v>2.0416666666666666E-2</v>
      </c>
      <c r="M5" s="18"/>
    </row>
    <row r="6" spans="1:13" ht="15.6" thickTop="1" thickBot="1" x14ac:dyDescent="0.35">
      <c r="A6" s="13" t="s">
        <v>51</v>
      </c>
      <c r="B6" s="17">
        <v>4.9583333333333333E-2</v>
      </c>
      <c r="C6" s="17">
        <v>4.5416666666666668E-2</v>
      </c>
      <c r="D6" s="17">
        <v>1.6666666666666668E-3</v>
      </c>
      <c r="E6" s="17">
        <v>6.6666666666666671E-3</v>
      </c>
      <c r="F6" s="17">
        <v>0.10333333333333333</v>
      </c>
      <c r="H6" s="24" t="str">
        <f t="shared" ref="H6:H10" si="2">A6</f>
        <v>Instagram</v>
      </c>
      <c r="I6" s="19">
        <f t="shared" ref="I6:I10" si="3">B6</f>
        <v>4.9583333333333333E-2</v>
      </c>
      <c r="J6" s="19">
        <f t="shared" ref="J6:J10" si="4">C6</f>
        <v>4.5416666666666668E-2</v>
      </c>
      <c r="K6" s="19">
        <f t="shared" ref="K6:K10" si="5">D6</f>
        <v>1.6666666666666668E-3</v>
      </c>
      <c r="L6" s="21">
        <f t="shared" ref="L6:L10" si="6">E6</f>
        <v>6.6666666666666671E-3</v>
      </c>
      <c r="M6" s="18"/>
    </row>
    <row r="7" spans="1:13" ht="15.6" thickTop="1" thickBot="1" x14ac:dyDescent="0.35">
      <c r="A7" s="13" t="s">
        <v>70</v>
      </c>
      <c r="B7" s="17">
        <v>5.7916666666666665E-2</v>
      </c>
      <c r="C7" s="17">
        <v>4.2083333333333334E-2</v>
      </c>
      <c r="D7" s="17">
        <v>4.5833333333333334E-3</v>
      </c>
      <c r="E7" s="17">
        <v>4.5833333333333334E-3</v>
      </c>
      <c r="F7" s="17">
        <v>0.10916666666666666</v>
      </c>
      <c r="H7" s="24" t="str">
        <f t="shared" si="2"/>
        <v>Partner App</v>
      </c>
      <c r="I7" s="19">
        <f t="shared" si="3"/>
        <v>5.7916666666666665E-2</v>
      </c>
      <c r="J7" s="19">
        <f t="shared" si="4"/>
        <v>4.2083333333333334E-2</v>
      </c>
      <c r="K7" s="19">
        <f t="shared" si="5"/>
        <v>4.5833333333333334E-3</v>
      </c>
      <c r="L7" s="21">
        <f t="shared" si="6"/>
        <v>4.5833333333333334E-3</v>
      </c>
      <c r="M7" s="18"/>
    </row>
    <row r="8" spans="1:13" ht="15.6" thickTop="1" thickBot="1" x14ac:dyDescent="0.35">
      <c r="A8" s="13" t="s">
        <v>40</v>
      </c>
      <c r="B8" s="17">
        <v>9.4166666666666662E-2</v>
      </c>
      <c r="C8" s="17">
        <v>7.6249999999999998E-2</v>
      </c>
      <c r="D8" s="17">
        <v>6.6666666666666671E-3</v>
      </c>
      <c r="E8" s="17">
        <v>1.1666666666666667E-2</v>
      </c>
      <c r="F8" s="17">
        <v>0.18875</v>
      </c>
      <c r="H8" s="24" t="str">
        <f t="shared" si="2"/>
        <v>Target.com</v>
      </c>
      <c r="I8" s="19">
        <f t="shared" si="3"/>
        <v>9.4166666666666662E-2</v>
      </c>
      <c r="J8" s="19">
        <f t="shared" si="4"/>
        <v>7.6249999999999998E-2</v>
      </c>
      <c r="K8" s="19">
        <f t="shared" si="5"/>
        <v>6.6666666666666671E-3</v>
      </c>
      <c r="L8" s="21">
        <f t="shared" si="6"/>
        <v>1.1666666666666667E-2</v>
      </c>
      <c r="M8" s="18"/>
    </row>
    <row r="9" spans="1:13" ht="15.6" thickTop="1" thickBot="1" x14ac:dyDescent="0.35">
      <c r="A9" s="13" t="s">
        <v>35</v>
      </c>
      <c r="B9" s="17">
        <v>0.12125</v>
      </c>
      <c r="C9" s="17">
        <v>9.6250000000000002E-2</v>
      </c>
      <c r="D9" s="17">
        <v>6.6666666666666671E-3</v>
      </c>
      <c r="E9" s="17">
        <v>1.2916666666666667E-2</v>
      </c>
      <c r="F9" s="17">
        <v>0.23708333333333334</v>
      </c>
      <c r="H9" s="24" t="str">
        <f t="shared" si="2"/>
        <v>Website</v>
      </c>
      <c r="I9" s="19">
        <f t="shared" si="3"/>
        <v>0.12125</v>
      </c>
      <c r="J9" s="19">
        <f t="shared" si="4"/>
        <v>9.6250000000000002E-2</v>
      </c>
      <c r="K9" s="19">
        <f t="shared" si="5"/>
        <v>6.6666666666666671E-3</v>
      </c>
      <c r="L9" s="21">
        <f t="shared" si="6"/>
        <v>1.2916666666666667E-2</v>
      </c>
      <c r="M9" s="18"/>
    </row>
    <row r="10" spans="1:13" ht="15" thickTop="1" x14ac:dyDescent="0.3">
      <c r="A10" s="13" t="s">
        <v>2552</v>
      </c>
      <c r="B10" s="17">
        <v>0.51291666666666669</v>
      </c>
      <c r="C10" s="17">
        <v>0.39958333333333335</v>
      </c>
      <c r="D10" s="17">
        <v>3.125E-2</v>
      </c>
      <c r="E10" s="17">
        <v>5.6250000000000001E-2</v>
      </c>
      <c r="F10" s="17">
        <v>1</v>
      </c>
      <c r="H10" s="25" t="str">
        <f t="shared" si="2"/>
        <v>Grand Total</v>
      </c>
      <c r="I10" s="22">
        <f t="shared" si="3"/>
        <v>0.51291666666666669</v>
      </c>
      <c r="J10" s="22">
        <f t="shared" si="4"/>
        <v>0.39958333333333335</v>
      </c>
      <c r="K10" s="22">
        <f t="shared" si="5"/>
        <v>3.125E-2</v>
      </c>
      <c r="L10" s="23">
        <f t="shared" si="6"/>
        <v>5.6250000000000001E-2</v>
      </c>
      <c r="M10" s="18"/>
    </row>
  </sheetData>
  <conditionalFormatting sqref="I5:M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F9" sqref="F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2559</v>
      </c>
    </row>
    <row r="4" spans="2:2" x14ac:dyDescent="0.3">
      <c r="B4" s="4" t="s">
        <v>2504</v>
      </c>
    </row>
    <row r="5" spans="2:2" x14ac:dyDescent="0.3">
      <c r="B5" s="4" t="s">
        <v>2505</v>
      </c>
    </row>
    <row r="6" spans="2:2" x14ac:dyDescent="0.3">
      <c r="B6" s="4" t="s">
        <v>2506</v>
      </c>
    </row>
    <row r="7" spans="2:2" x14ac:dyDescent="0.3">
      <c r="B7" s="4" t="s">
        <v>2507</v>
      </c>
    </row>
    <row r="10" spans="2:2" x14ac:dyDescent="0.3">
      <c r="B10" s="3" t="s">
        <v>2508</v>
      </c>
    </row>
    <row r="11" spans="2:2" x14ac:dyDescent="0.3">
      <c r="B11" t="s">
        <v>2509</v>
      </c>
    </row>
    <row r="12" spans="2:2" x14ac:dyDescent="0.3">
      <c r="B12" t="s">
        <v>2510</v>
      </c>
    </row>
    <row r="13" spans="2:2" x14ac:dyDescent="0.3">
      <c r="B13" t="s">
        <v>2511</v>
      </c>
    </row>
    <row r="14" spans="2:2" x14ac:dyDescent="0.3">
      <c r="B14" t="s">
        <v>2512</v>
      </c>
    </row>
    <row r="15" spans="2:2" x14ac:dyDescent="0.3">
      <c r="B15" t="s">
        <v>2513</v>
      </c>
    </row>
    <row r="16" spans="2:2" x14ac:dyDescent="0.3">
      <c r="B16" t="s">
        <v>2514</v>
      </c>
    </row>
    <row r="17" spans="2:2" x14ac:dyDescent="0.3">
      <c r="B17" t="s">
        <v>2515</v>
      </c>
    </row>
    <row r="18" spans="2:2" x14ac:dyDescent="0.3">
      <c r="B18" t="s">
        <v>2516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topLeftCell="A16" zoomScale="70" zoomScaleNormal="70" workbookViewId="0">
      <selection activeCell="S45" sqref="S45"/>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C7" sqref="C7"/>
    </sheetView>
  </sheetViews>
  <sheetFormatPr defaultRowHeight="14.4" x14ac:dyDescent="0.3"/>
  <cols>
    <col min="1" max="1" width="3.33203125" customWidth="1"/>
    <col min="8" max="8" width="37.33203125" customWidth="1"/>
  </cols>
  <sheetData>
    <row r="2" spans="2:8" x14ac:dyDescent="0.3">
      <c r="H2" t="s">
        <v>2547</v>
      </c>
    </row>
    <row r="3" spans="2:8" x14ac:dyDescent="0.3">
      <c r="B3" t="s">
        <v>2517</v>
      </c>
    </row>
    <row r="4" spans="2:8" x14ac:dyDescent="0.3">
      <c r="H4" s="11" t="s">
        <v>2548</v>
      </c>
    </row>
    <row r="5" spans="2:8" x14ac:dyDescent="0.3">
      <c r="B5" t="s">
        <v>2518</v>
      </c>
      <c r="H5" s="11" t="s">
        <v>2549</v>
      </c>
    </row>
    <row r="6" spans="2:8" x14ac:dyDescent="0.3">
      <c r="B6" s="5"/>
      <c r="C6" t="s">
        <v>2519</v>
      </c>
      <c r="D6" t="s">
        <v>2525</v>
      </c>
      <c r="H6" t="s">
        <v>2550</v>
      </c>
    </row>
    <row r="7" spans="2:8" x14ac:dyDescent="0.3">
      <c r="B7" s="6"/>
      <c r="C7" t="s">
        <v>2520</v>
      </c>
      <c r="D7" t="s">
        <v>2526</v>
      </c>
    </row>
    <row r="8" spans="2:8" x14ac:dyDescent="0.3">
      <c r="B8" s="7"/>
      <c r="C8" t="s">
        <v>2521</v>
      </c>
      <c r="D8" t="s">
        <v>2527</v>
      </c>
    </row>
    <row r="9" spans="2:8" x14ac:dyDescent="0.3">
      <c r="B9" s="8"/>
      <c r="C9" t="s">
        <v>2522</v>
      </c>
      <c r="D9" t="s">
        <v>2528</v>
      </c>
    </row>
    <row r="10" spans="2:8" x14ac:dyDescent="0.3">
      <c r="B10" s="9"/>
      <c r="C10" t="s">
        <v>2523</v>
      </c>
      <c r="D10" t="s">
        <v>2529</v>
      </c>
    </row>
    <row r="11" spans="2:8" x14ac:dyDescent="0.3">
      <c r="B11" s="2"/>
      <c r="C11" t="s">
        <v>2524</v>
      </c>
      <c r="D11" t="s">
        <v>2530</v>
      </c>
    </row>
    <row r="13" spans="2:8" x14ac:dyDescent="0.3">
      <c r="B13" t="s">
        <v>2531</v>
      </c>
    </row>
    <row r="14" spans="2:8" x14ac:dyDescent="0.3">
      <c r="B14" t="s">
        <v>2532</v>
      </c>
      <c r="C14" t="s">
        <v>2537</v>
      </c>
    </row>
    <row r="15" spans="2:8" x14ac:dyDescent="0.3">
      <c r="B15" t="s">
        <v>2533</v>
      </c>
      <c r="C15" t="s">
        <v>2</v>
      </c>
    </row>
    <row r="16" spans="2:8" x14ac:dyDescent="0.3">
      <c r="B16" t="s">
        <v>2534</v>
      </c>
      <c r="C16" t="s">
        <v>4</v>
      </c>
    </row>
    <row r="17" spans="2:3" x14ac:dyDescent="0.3">
      <c r="B17" t="s">
        <v>2535</v>
      </c>
      <c r="C17" t="s">
        <v>2538</v>
      </c>
    </row>
    <row r="18" spans="2:3" x14ac:dyDescent="0.3">
      <c r="B18" t="s">
        <v>2536</v>
      </c>
      <c r="C18" t="s">
        <v>2539</v>
      </c>
    </row>
    <row r="21" spans="2:3" x14ac:dyDescent="0.3">
      <c r="B21" t="s">
        <v>2540</v>
      </c>
    </row>
    <row r="22" spans="2:3" x14ac:dyDescent="0.3">
      <c r="B22" t="s">
        <v>2541</v>
      </c>
      <c r="C22" t="s">
        <v>2542</v>
      </c>
    </row>
    <row r="23" spans="2:3" x14ac:dyDescent="0.3">
      <c r="B23" t="s">
        <v>2543</v>
      </c>
      <c r="C23" t="s">
        <v>2544</v>
      </c>
    </row>
    <row r="24" spans="2:3" x14ac:dyDescent="0.3">
      <c r="B24" s="10" t="s">
        <v>2545</v>
      </c>
      <c r="C24" t="s">
        <v>2546</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tables</vt:lpstr>
      <vt:lpstr>pivot 2</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Harsh</cp:lastModifiedBy>
  <dcterms:created xsi:type="dcterms:W3CDTF">2025-06-13T02:42:26Z</dcterms:created>
  <dcterms:modified xsi:type="dcterms:W3CDTF">2026-07-28T12:33:59Z</dcterms:modified>
</cp:coreProperties>
</file>